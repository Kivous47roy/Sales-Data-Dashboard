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ouvikroy/Library/Application Support/Claude/local-agent-mode-sessions/8fb6eb48-5c7c-4e49-b967-b23a9badaf86/c20f8c9c-2f83-4394-8fab-cf8813264c55/local_64954477-5fd6-49ac-84e5-db2e033b85ff/outputs/"/>
    </mc:Choice>
  </mc:AlternateContent>
  <xr:revisionPtr revIDLastSave="0" documentId="11_2C4EA72D25968F2FE6E0534587D1C4E0D8FF67C5" xr6:coauthVersionLast="47" xr6:coauthVersionMax="47" xr10:uidLastSave="{00000000-0000-0000-0000-000000000000}"/>
  <bookViews>
    <workbookView xWindow="0" yWindow="740" windowWidth="29400" windowHeight="17080" tabRatio="500" activeTab="5" xr2:uid="{00000000-000D-0000-FFFF-FFFF00000000}"/>
  </bookViews>
  <sheets>
    <sheet name="SKU Master" sheetId="1" r:id="rId1"/>
    <sheet name="Customer Master" sheetId="2" r:id="rId2"/>
    <sheet name="Annual Plan" sheetId="3" r:id="rId3"/>
    <sheet name="Monthly Demand" sheetId="4" r:id="rId4"/>
    <sheet name="Customer Summary" sheetId="5" r:id="rId5"/>
    <sheet name="SKU Monthly Summar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0" i="6" l="1"/>
  <c r="L10" i="6"/>
  <c r="K10" i="6"/>
  <c r="J10" i="6"/>
  <c r="I10" i="6"/>
  <c r="H10" i="6"/>
  <c r="G10" i="6"/>
  <c r="F10" i="6"/>
  <c r="E10" i="6"/>
  <c r="D10" i="6"/>
  <c r="C10" i="6"/>
  <c r="B10" i="6"/>
  <c r="N9" i="6"/>
  <c r="O9" i="6" s="1"/>
  <c r="O8" i="6"/>
  <c r="N8" i="6"/>
  <c r="N7" i="6"/>
  <c r="O7" i="6" s="1"/>
  <c r="O6" i="6"/>
  <c r="N6" i="6"/>
  <c r="N5" i="6"/>
  <c r="O5" i="6" s="1"/>
  <c r="O4" i="6"/>
  <c r="N4" i="6"/>
  <c r="N3" i="6"/>
  <c r="N10" i="6" s="1"/>
  <c r="L13" i="5"/>
  <c r="K13" i="5"/>
  <c r="H13" i="5"/>
  <c r="G13" i="5"/>
  <c r="F13" i="5"/>
  <c r="E13" i="5"/>
  <c r="D13" i="5"/>
  <c r="C13" i="5"/>
  <c r="B13" i="5"/>
  <c r="I12" i="5"/>
  <c r="J12" i="5" s="1"/>
  <c r="I11" i="5"/>
  <c r="J11" i="5" s="1"/>
  <c r="I10" i="5"/>
  <c r="J10" i="5" s="1"/>
  <c r="I9" i="5"/>
  <c r="J9" i="5" s="1"/>
  <c r="I8" i="5"/>
  <c r="J8" i="5" s="1"/>
  <c r="I7" i="5"/>
  <c r="J7" i="5" s="1"/>
  <c r="I6" i="5"/>
  <c r="J6" i="5" s="1"/>
  <c r="I5" i="5"/>
  <c r="J5" i="5" s="1"/>
  <c r="I4" i="5"/>
  <c r="J4" i="5" s="1"/>
  <c r="I3" i="5"/>
  <c r="J3" i="5" s="1"/>
  <c r="P72" i="4"/>
  <c r="Q72" i="4" s="1"/>
  <c r="P71" i="4"/>
  <c r="Q71" i="4" s="1"/>
  <c r="P70" i="4"/>
  <c r="Q70" i="4" s="1"/>
  <c r="P69" i="4"/>
  <c r="Q69" i="4" s="1"/>
  <c r="P68" i="4"/>
  <c r="Q68" i="4" s="1"/>
  <c r="P67" i="4"/>
  <c r="Q67" i="4" s="1"/>
  <c r="P66" i="4"/>
  <c r="Q66" i="4" s="1"/>
  <c r="P65" i="4"/>
  <c r="Q65" i="4" s="1"/>
  <c r="P64" i="4"/>
  <c r="Q64" i="4" s="1"/>
  <c r="P63" i="4"/>
  <c r="Q63" i="4" s="1"/>
  <c r="P62" i="4"/>
  <c r="Q62" i="4" s="1"/>
  <c r="P61" i="4"/>
  <c r="Q61" i="4" s="1"/>
  <c r="P60" i="4"/>
  <c r="Q60" i="4" s="1"/>
  <c r="P59" i="4"/>
  <c r="Q59" i="4" s="1"/>
  <c r="P58" i="4"/>
  <c r="Q58" i="4" s="1"/>
  <c r="P57" i="4"/>
  <c r="Q57" i="4" s="1"/>
  <c r="P56" i="4"/>
  <c r="Q56" i="4" s="1"/>
  <c r="P55" i="4"/>
  <c r="Q55" i="4" s="1"/>
  <c r="P54" i="4"/>
  <c r="Q54" i="4" s="1"/>
  <c r="P53" i="4"/>
  <c r="Q53" i="4" s="1"/>
  <c r="P52" i="4"/>
  <c r="Q52" i="4" s="1"/>
  <c r="P51" i="4"/>
  <c r="Q51" i="4" s="1"/>
  <c r="P50" i="4"/>
  <c r="Q50" i="4" s="1"/>
  <c r="P49" i="4"/>
  <c r="Q49" i="4" s="1"/>
  <c r="P48" i="4"/>
  <c r="Q48" i="4" s="1"/>
  <c r="P47" i="4"/>
  <c r="Q47" i="4" s="1"/>
  <c r="P46" i="4"/>
  <c r="Q46" i="4" s="1"/>
  <c r="P45" i="4"/>
  <c r="Q45" i="4" s="1"/>
  <c r="P44" i="4"/>
  <c r="Q44" i="4" s="1"/>
  <c r="P43" i="4"/>
  <c r="Q43" i="4" s="1"/>
  <c r="P42" i="4"/>
  <c r="Q42" i="4" s="1"/>
  <c r="P41" i="4"/>
  <c r="Q41" i="4" s="1"/>
  <c r="P40" i="4"/>
  <c r="Q40" i="4" s="1"/>
  <c r="P39" i="4"/>
  <c r="Q39" i="4" s="1"/>
  <c r="P38" i="4"/>
  <c r="Q38" i="4" s="1"/>
  <c r="P37" i="4"/>
  <c r="Q37" i="4" s="1"/>
  <c r="P36" i="4"/>
  <c r="Q36" i="4" s="1"/>
  <c r="P35" i="4"/>
  <c r="Q35" i="4" s="1"/>
  <c r="P34" i="4"/>
  <c r="Q34" i="4" s="1"/>
  <c r="P33" i="4"/>
  <c r="Q33" i="4" s="1"/>
  <c r="P32" i="4"/>
  <c r="Q32" i="4" s="1"/>
  <c r="P31" i="4"/>
  <c r="Q31" i="4" s="1"/>
  <c r="P30" i="4"/>
  <c r="Q30" i="4" s="1"/>
  <c r="P29" i="4"/>
  <c r="Q29" i="4" s="1"/>
  <c r="P28" i="4"/>
  <c r="Q28" i="4" s="1"/>
  <c r="P27" i="4"/>
  <c r="Q27" i="4" s="1"/>
  <c r="P26" i="4"/>
  <c r="Q26" i="4" s="1"/>
  <c r="P25" i="4"/>
  <c r="Q25" i="4" s="1"/>
  <c r="P24" i="4"/>
  <c r="Q24" i="4" s="1"/>
  <c r="P23" i="4"/>
  <c r="Q23" i="4" s="1"/>
  <c r="P22" i="4"/>
  <c r="Q22" i="4" s="1"/>
  <c r="P21" i="4"/>
  <c r="Q21" i="4" s="1"/>
  <c r="P20" i="4"/>
  <c r="Q20" i="4" s="1"/>
  <c r="P19" i="4"/>
  <c r="Q19" i="4" s="1"/>
  <c r="P18" i="4"/>
  <c r="Q18" i="4" s="1"/>
  <c r="P17" i="4"/>
  <c r="Q17" i="4" s="1"/>
  <c r="P16" i="4"/>
  <c r="Q16" i="4" s="1"/>
  <c r="P15" i="4"/>
  <c r="Q15" i="4" s="1"/>
  <c r="P14" i="4"/>
  <c r="Q14" i="4" s="1"/>
  <c r="P13" i="4"/>
  <c r="Q13" i="4" s="1"/>
  <c r="P12" i="4"/>
  <c r="Q12" i="4" s="1"/>
  <c r="P11" i="4"/>
  <c r="Q11" i="4" s="1"/>
  <c r="P10" i="4"/>
  <c r="Q10" i="4" s="1"/>
  <c r="P9" i="4"/>
  <c r="Q9" i="4" s="1"/>
  <c r="P8" i="4"/>
  <c r="Q8" i="4" s="1"/>
  <c r="P7" i="4"/>
  <c r="Q7" i="4" s="1"/>
  <c r="P6" i="4"/>
  <c r="Q6" i="4" s="1"/>
  <c r="P5" i="4"/>
  <c r="Q5" i="4" s="1"/>
  <c r="P4" i="4"/>
  <c r="Q4" i="4" s="1"/>
  <c r="P3" i="4"/>
  <c r="Q3" i="4" s="1"/>
  <c r="I13" i="3"/>
  <c r="H13" i="3"/>
  <c r="G13" i="3"/>
  <c r="F13" i="3"/>
  <c r="E13" i="3"/>
  <c r="D13" i="3"/>
  <c r="C13" i="3"/>
  <c r="J12" i="3"/>
  <c r="J11" i="3"/>
  <c r="J10" i="3"/>
  <c r="J9" i="3"/>
  <c r="J8" i="3"/>
  <c r="J7" i="3"/>
  <c r="J6" i="3"/>
  <c r="J5" i="3"/>
  <c r="J4" i="3"/>
  <c r="J3" i="3"/>
  <c r="J13" i="3" s="1"/>
  <c r="G10" i="1"/>
  <c r="F10" i="1"/>
  <c r="E10" i="1"/>
  <c r="D10" i="1"/>
  <c r="J13" i="5" l="1"/>
  <c r="O3" i="6"/>
  <c r="O10" i="6" s="1"/>
  <c r="I13" i="5"/>
</calcChain>
</file>

<file path=xl/sharedStrings.xml><?xml version="1.0" encoding="utf-8"?>
<sst xmlns="http://schemas.openxmlformats.org/spreadsheetml/2006/main" count="385" uniqueCount="89">
  <si>
    <t>SKU MASTER — Smart Meter Product Catalogue</t>
  </si>
  <si>
    <t>SKU ID</t>
  </si>
  <si>
    <t>SKU Description</t>
  </si>
  <si>
    <t>Category</t>
  </si>
  <si>
    <t>Unit Price (₹)</t>
  </si>
  <si>
    <t>Monthly Plan (Units)</t>
  </si>
  <si>
    <t>Annual Plan (Units)</t>
  </si>
  <si>
    <t>% of Portfolio</t>
  </si>
  <si>
    <t>SM-SP-NB</t>
  </si>
  <si>
    <t>Single Phase NB-IoT Meter</t>
  </si>
  <si>
    <t>Single Phase</t>
  </si>
  <si>
    <t>SM-SP-RF</t>
  </si>
  <si>
    <t>Single Phase RF Mesh Meter</t>
  </si>
  <si>
    <t>SM-TP-NB</t>
  </si>
  <si>
    <t>Three Phase NB-IoT Meter</t>
  </si>
  <si>
    <t>Three Phase</t>
  </si>
  <si>
    <t>SM-TP-RF</t>
  </si>
  <si>
    <t>Three Phase RF Mesh Meter</t>
  </si>
  <si>
    <t>SM-CT-HT</t>
  </si>
  <si>
    <t>CT Operated HT Meter</t>
  </si>
  <si>
    <t>HT / CT Meter</t>
  </si>
  <si>
    <t>SM-PP-4G</t>
  </si>
  <si>
    <t>Prepaid Smart Meter 4G</t>
  </si>
  <si>
    <t>Prepaid</t>
  </si>
  <si>
    <t>SM-PP-RF</t>
  </si>
  <si>
    <t>Prepaid RF Mesh Meter</t>
  </si>
  <si>
    <t>TOTAL</t>
  </si>
  <si>
    <t>CUSTOMER MASTER — B2B Smart Meter Accounts</t>
  </si>
  <si>
    <t>Customer ID</t>
  </si>
  <si>
    <t>Customer Name</t>
  </si>
  <si>
    <t>State</t>
  </si>
  <si>
    <t>Segment</t>
  </si>
  <si>
    <t>Credit Terms (Days)</t>
  </si>
  <si>
    <t>Annual Plan Share (%)</t>
  </si>
  <si>
    <t>C01</t>
  </si>
  <si>
    <t>MSEDCL</t>
  </si>
  <si>
    <t>Maharashtra</t>
  </si>
  <si>
    <t>DISCOM</t>
  </si>
  <si>
    <t>C02</t>
  </si>
  <si>
    <t>UPPCL</t>
  </si>
  <si>
    <t>Uttar Pradesh</t>
  </si>
  <si>
    <t>C03</t>
  </si>
  <si>
    <t>BSES Rajdhani</t>
  </si>
  <si>
    <t>Delhi</t>
  </si>
  <si>
    <t>C04</t>
  </si>
  <si>
    <t>BESCOM</t>
  </si>
  <si>
    <t>Karnataka</t>
  </si>
  <si>
    <t>C05</t>
  </si>
  <si>
    <t>TPDDL</t>
  </si>
  <si>
    <t>C06</t>
  </si>
  <si>
    <t>APEPDCL</t>
  </si>
  <si>
    <t>Andhra Pradesh</t>
  </si>
  <si>
    <t>C07</t>
  </si>
  <si>
    <t>CESC Limited</t>
  </si>
  <si>
    <t>West Bengal</t>
  </si>
  <si>
    <t>C08</t>
  </si>
  <si>
    <t>BSES Yamuna</t>
  </si>
  <si>
    <t>C09</t>
  </si>
  <si>
    <t>TANGEDCO</t>
  </si>
  <si>
    <t>Tamil Nadu</t>
  </si>
  <si>
    <t>C10</t>
  </si>
  <si>
    <t>Adani Electricity</t>
  </si>
  <si>
    <t>Pvt Utility</t>
  </si>
  <si>
    <t>ANNUAL PLAN FY 2025-26 — 12,000,000 Units | 1,000,000 Units/Month</t>
  </si>
  <si>
    <t>ANNUAL TOTAL</t>
  </si>
  <si>
    <t>GRAND TOTAL</t>
  </si>
  <si>
    <t>All Customers</t>
  </si>
  <si>
    <t>MONTHLY DEMAND PLAN FY 2025-26 — Customer × SKU (Units)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</si>
  <si>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</si>
  <si>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</si>
  <si>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</si>
  <si>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</si>
  <si>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</si>
  <si>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</si>
  <si>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</si>
  <si>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</si>
  <si>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</si>
  <si>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</si>
  <si>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</si>
  <si>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</si>
  <si>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FY Total (Act.)</t>
  </si>
  <si>
    <t>vs Annual Plan %</t>
  </si>
  <si>
    <t>CUSTOMER SUMMARY DASHBOARD — FY 2025-26</t>
  </si>
  <si>
    <t>FY Total (Units)</t>
  </si>
  <si>
    <t>% of Plan</t>
  </si>
  <si>
    <t>Est. Revenue (₹ Cr)</t>
  </si>
  <si>
    <t>SKU × MONTH DEMAND SUMMARY — All Customers Combined (Units)</t>
  </si>
  <si>
    <t>FY Total</t>
  </si>
  <si>
    <t>Monthly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</si>
</sst>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0.0%"/>
    <numFmt numFmtId="166" formatCode="\₹#,##0.00"/>
  </numFmts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404040"/>
        <bgColor rgb="FF1F3864"/>
      </patternFill>
    </fill>
    <fill>
      <patternFill patternType="solid">
        <fgColor rgb="FFBDD7EE"/>
        <bgColor rgb="FF99CCFF"/>
      </patternFill>
    </fill>
    <fill>
      <patternFill patternType="solid">
        <fgColor rgb="FFFFF2CC"/>
        <bgColor rgb="FFEBF3FB"/>
      </patternFill>
    </fill>
    <fill>
      <patternFill patternType="solid">
        <fgColor rgb="FFD5F5E3"/>
        <bgColor rgb="FFCCFFFF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medium">
        <color rgb="FF2E75B6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3" fontId="3" fillId="5" borderId="2" xfId="0" applyNumberFormat="1" applyFont="1" applyFill="1" applyBorder="1" applyAlignment="1">
      <alignment horizontal="center" vertical="center" wrapText="1"/>
    </xf>
    <xf numFmtId="165" fontId="3" fillId="5" borderId="2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3" fontId="5" fillId="7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5" fontId="5" fillId="8" borderId="2" xfId="0" applyNumberFormat="1" applyFont="1" applyFill="1" applyBorder="1" applyAlignment="1">
      <alignment horizontal="center" vertical="center" wrapText="1"/>
    </xf>
    <xf numFmtId="165" fontId="5" fillId="9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166" fontId="3" fillId="4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166" fontId="3" fillId="5" borderId="2" xfId="0" applyNumberFormat="1" applyFont="1" applyFill="1" applyBorder="1" applyAlignment="1">
      <alignment horizontal="center" vertical="center" wrapText="1"/>
    </xf>
    <xf numFmtId="166" fontId="2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showGridLines="0" zoomScaleNormal="100" workbookViewId="0">
      <pane ySplit="2" topLeftCell="A3" activePane="bottomLeft" state="frozen"/>
      <selection pane="bottomLeft" sqref="A1:G1"/>
    </sheetView>
  </sheetViews>
  <sheetFormatPr baseColWidth="10" defaultColWidth="8.6640625" defaultRowHeight="15" x14ac:dyDescent="0.2"/>
  <cols>
    <col min="1" max="1" width="14" customWidth="1"/>
    <col min="2" max="2" width="36" customWidth="1"/>
    <col min="3" max="4" width="18" customWidth="1"/>
    <col min="5" max="6" width="22" customWidth="1"/>
    <col min="7" max="7" width="18" customWidth="1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  <c r="G1" s="3"/>
    </row>
    <row r="2" spans="1:7" ht="30" customHeight="1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x14ac:dyDescent="0.2">
      <c r="A3" s="5" t="s">
        <v>8</v>
      </c>
      <c r="B3" s="6" t="s">
        <v>9</v>
      </c>
      <c r="C3" s="5" t="s">
        <v>10</v>
      </c>
      <c r="D3" s="7">
        <v>1850</v>
      </c>
      <c r="E3" s="8">
        <v>380000</v>
      </c>
      <c r="F3" s="8">
        <v>4560000</v>
      </c>
      <c r="G3" s="9">
        <v>0.38</v>
      </c>
    </row>
    <row r="4" spans="1:7" x14ac:dyDescent="0.2">
      <c r="A4" s="10" t="s">
        <v>11</v>
      </c>
      <c r="B4" s="11" t="s">
        <v>12</v>
      </c>
      <c r="C4" s="10" t="s">
        <v>10</v>
      </c>
      <c r="D4" s="12">
        <v>1720</v>
      </c>
      <c r="E4" s="13">
        <v>220000</v>
      </c>
      <c r="F4" s="13">
        <v>2640000</v>
      </c>
      <c r="G4" s="14">
        <v>0.22</v>
      </c>
    </row>
    <row r="5" spans="1:7" x14ac:dyDescent="0.2">
      <c r="A5" s="5" t="s">
        <v>13</v>
      </c>
      <c r="B5" s="6" t="s">
        <v>14</v>
      </c>
      <c r="C5" s="5" t="s">
        <v>15</v>
      </c>
      <c r="D5" s="7">
        <v>4200</v>
      </c>
      <c r="E5" s="8">
        <v>140000</v>
      </c>
      <c r="F5" s="8">
        <v>1680000</v>
      </c>
      <c r="G5" s="9">
        <v>0.14000000000000001</v>
      </c>
    </row>
    <row r="6" spans="1:7" x14ac:dyDescent="0.2">
      <c r="A6" s="10" t="s">
        <v>16</v>
      </c>
      <c r="B6" s="11" t="s">
        <v>17</v>
      </c>
      <c r="C6" s="10" t="s">
        <v>15</v>
      </c>
      <c r="D6" s="12">
        <v>3950</v>
      </c>
      <c r="E6" s="13">
        <v>90000</v>
      </c>
      <c r="F6" s="13">
        <v>1080000</v>
      </c>
      <c r="G6" s="14">
        <v>0.09</v>
      </c>
    </row>
    <row r="7" spans="1:7" x14ac:dyDescent="0.2">
      <c r="A7" s="5" t="s">
        <v>18</v>
      </c>
      <c r="B7" s="6" t="s">
        <v>19</v>
      </c>
      <c r="C7" s="5" t="s">
        <v>20</v>
      </c>
      <c r="D7" s="7">
        <v>12500</v>
      </c>
      <c r="E7" s="8">
        <v>50000</v>
      </c>
      <c r="F7" s="8">
        <v>600000</v>
      </c>
      <c r="G7" s="9">
        <v>0.05</v>
      </c>
    </row>
    <row r="8" spans="1:7" x14ac:dyDescent="0.2">
      <c r="A8" s="10" t="s">
        <v>21</v>
      </c>
      <c r="B8" s="11" t="s">
        <v>22</v>
      </c>
      <c r="C8" s="10" t="s">
        <v>23</v>
      </c>
      <c r="D8" s="12">
        <v>2350</v>
      </c>
      <c r="E8" s="13">
        <v>70000</v>
      </c>
      <c r="F8" s="13">
        <v>840000</v>
      </c>
      <c r="G8" s="14">
        <v>7.0000000000000007E-2</v>
      </c>
    </row>
    <row r="9" spans="1:7" x14ac:dyDescent="0.2">
      <c r="A9" s="5" t="s">
        <v>24</v>
      </c>
      <c r="B9" s="6" t="s">
        <v>25</v>
      </c>
      <c r="C9" s="5" t="s">
        <v>23</v>
      </c>
      <c r="D9" s="7">
        <v>2100</v>
      </c>
      <c r="E9" s="8">
        <v>50000</v>
      </c>
      <c r="F9" s="8">
        <v>600000</v>
      </c>
      <c r="G9" s="9">
        <v>0.05</v>
      </c>
    </row>
    <row r="10" spans="1:7" ht="24" customHeight="1" x14ac:dyDescent="0.2">
      <c r="A10" s="2" t="s">
        <v>26</v>
      </c>
      <c r="B10" s="2"/>
      <c r="C10" s="2"/>
      <c r="D10" s="15">
        <f>SUM(D3:D9)</f>
        <v>28670</v>
      </c>
      <c r="E10" s="16">
        <f>SUM(E3:E9)</f>
        <v>1000000</v>
      </c>
      <c r="F10" s="16">
        <f>SUM(F3:F9)</f>
        <v>12000000</v>
      </c>
      <c r="G10" s="17">
        <f>SUM(G3:G9)</f>
        <v>1</v>
      </c>
    </row>
  </sheetData>
  <mergeCells count="2">
    <mergeCell ref="A1:G1"/>
    <mergeCell ref="A10:C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showGridLines="0" zoomScaleNormal="100" workbookViewId="0">
      <pane ySplit="2" topLeftCell="A3" activePane="bottomLeft" state="frozen"/>
      <selection pane="bottomLeft" sqref="A1:F1"/>
    </sheetView>
  </sheetViews>
  <sheetFormatPr baseColWidth="10" defaultColWidth="8.6640625" defaultRowHeight="15" x14ac:dyDescent="0.2"/>
  <cols>
    <col min="1" max="1" width="14" customWidth="1"/>
    <col min="2" max="2" width="26" customWidth="1"/>
    <col min="3" max="3" width="20" customWidth="1"/>
    <col min="4" max="4" width="16" customWidth="1"/>
    <col min="5" max="6" width="22" customWidth="1"/>
  </cols>
  <sheetData>
    <row r="1" spans="1:6" ht="31.5" customHeight="1" x14ac:dyDescent="0.2">
      <c r="A1" s="3" t="s">
        <v>27</v>
      </c>
      <c r="B1" s="3"/>
      <c r="C1" s="3"/>
      <c r="D1" s="3"/>
      <c r="E1" s="3"/>
      <c r="F1" s="3"/>
    </row>
    <row r="2" spans="1:6" ht="30" customHeight="1" x14ac:dyDescent="0.2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</row>
    <row r="3" spans="1:6" x14ac:dyDescent="0.2">
      <c r="A3" s="5" t="s">
        <v>34</v>
      </c>
      <c r="B3" s="6" t="s">
        <v>35</v>
      </c>
      <c r="C3" s="5" t="s">
        <v>36</v>
      </c>
      <c r="D3" s="5" t="s">
        <v>37</v>
      </c>
      <c r="E3" s="5">
        <v>45</v>
      </c>
      <c r="F3" s="9">
        <v>0.22</v>
      </c>
    </row>
    <row r="4" spans="1:6" x14ac:dyDescent="0.2">
      <c r="A4" s="10" t="s">
        <v>38</v>
      </c>
      <c r="B4" s="11" t="s">
        <v>39</v>
      </c>
      <c r="C4" s="10" t="s">
        <v>40</v>
      </c>
      <c r="D4" s="10" t="s">
        <v>37</v>
      </c>
      <c r="E4" s="10">
        <v>60</v>
      </c>
      <c r="F4" s="14">
        <v>0.19</v>
      </c>
    </row>
    <row r="5" spans="1:6" x14ac:dyDescent="0.2">
      <c r="A5" s="5" t="s">
        <v>41</v>
      </c>
      <c r="B5" s="6" t="s">
        <v>42</v>
      </c>
      <c r="C5" s="5" t="s">
        <v>43</v>
      </c>
      <c r="D5" s="5" t="s">
        <v>37</v>
      </c>
      <c r="E5" s="5">
        <v>30</v>
      </c>
      <c r="F5" s="9">
        <v>0.12</v>
      </c>
    </row>
    <row r="6" spans="1:6" x14ac:dyDescent="0.2">
      <c r="A6" s="10" t="s">
        <v>44</v>
      </c>
      <c r="B6" s="11" t="s">
        <v>45</v>
      </c>
      <c r="C6" s="10" t="s">
        <v>46</v>
      </c>
      <c r="D6" s="10" t="s">
        <v>37</v>
      </c>
      <c r="E6" s="10">
        <v>45</v>
      </c>
      <c r="F6" s="14">
        <v>0.1</v>
      </c>
    </row>
    <row r="7" spans="1:6" x14ac:dyDescent="0.2">
      <c r="A7" s="5" t="s">
        <v>47</v>
      </c>
      <c r="B7" s="6" t="s">
        <v>48</v>
      </c>
      <c r="C7" s="5" t="s">
        <v>43</v>
      </c>
      <c r="D7" s="5" t="s">
        <v>37</v>
      </c>
      <c r="E7" s="5">
        <v>30</v>
      </c>
      <c r="F7" s="9">
        <v>0.08</v>
      </c>
    </row>
    <row r="8" spans="1:6" x14ac:dyDescent="0.2">
      <c r="A8" s="10" t="s">
        <v>49</v>
      </c>
      <c r="B8" s="11" t="s">
        <v>50</v>
      </c>
      <c r="C8" s="10" t="s">
        <v>51</v>
      </c>
      <c r="D8" s="10" t="s">
        <v>37</v>
      </c>
      <c r="E8" s="10">
        <v>60</v>
      </c>
      <c r="F8" s="14">
        <v>0.09</v>
      </c>
    </row>
    <row r="9" spans="1:6" x14ac:dyDescent="0.2">
      <c r="A9" s="5" t="s">
        <v>52</v>
      </c>
      <c r="B9" s="6" t="s">
        <v>53</v>
      </c>
      <c r="C9" s="5" t="s">
        <v>54</v>
      </c>
      <c r="D9" s="5" t="s">
        <v>37</v>
      </c>
      <c r="E9" s="5">
        <v>45</v>
      </c>
      <c r="F9" s="9">
        <v>7.0000000000000007E-2</v>
      </c>
    </row>
    <row r="10" spans="1:6" x14ac:dyDescent="0.2">
      <c r="A10" s="10" t="s">
        <v>55</v>
      </c>
      <c r="B10" s="11" t="s">
        <v>56</v>
      </c>
      <c r="C10" s="10" t="s">
        <v>43</v>
      </c>
      <c r="D10" s="10" t="s">
        <v>37</v>
      </c>
      <c r="E10" s="10">
        <v>30</v>
      </c>
      <c r="F10" s="14">
        <v>0.06</v>
      </c>
    </row>
    <row r="11" spans="1:6" x14ac:dyDescent="0.2">
      <c r="A11" s="5" t="s">
        <v>57</v>
      </c>
      <c r="B11" s="6" t="s">
        <v>58</v>
      </c>
      <c r="C11" s="5" t="s">
        <v>59</v>
      </c>
      <c r="D11" s="5" t="s">
        <v>37</v>
      </c>
      <c r="E11" s="5">
        <v>60</v>
      </c>
      <c r="F11" s="9">
        <v>0.04</v>
      </c>
    </row>
    <row r="12" spans="1:6" x14ac:dyDescent="0.2">
      <c r="A12" s="10" t="s">
        <v>60</v>
      </c>
      <c r="B12" s="11" t="s">
        <v>61</v>
      </c>
      <c r="C12" s="10" t="s">
        <v>36</v>
      </c>
      <c r="D12" s="10" t="s">
        <v>62</v>
      </c>
      <c r="E12" s="10">
        <v>30</v>
      </c>
      <c r="F12" s="14">
        <v>0.03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J1"/>
    </sheetView>
  </sheetViews>
  <sheetFormatPr baseColWidth="10" defaultColWidth="8.6640625" defaultRowHeight="15" x14ac:dyDescent="0.2"/>
  <cols>
    <col min="1" max="1" width="14" customWidth="1"/>
    <col min="2" max="2" width="26" customWidth="1"/>
    <col min="3" max="10" width="18" customWidth="1"/>
  </cols>
  <sheetData>
    <row r="1" spans="1:10" ht="31.5" customHeight="1" x14ac:dyDescent="0.2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 x14ac:dyDescent="0.2">
      <c r="A2" s="18" t="s">
        <v>28</v>
      </c>
      <c r="B2" s="18" t="s">
        <v>29</v>
      </c>
      <c r="C2" s="4" t="s">
        <v>8</v>
      </c>
      <c r="D2" s="4" t="s">
        <v>11</v>
      </c>
      <c r="E2" s="4" t="s">
        <v>13</v>
      </c>
      <c r="F2" s="4" t="s">
        <v>16</v>
      </c>
      <c r="G2" s="4" t="s">
        <v>18</v>
      </c>
      <c r="H2" s="4" t="s">
        <v>21</v>
      </c>
      <c r="I2" s="4" t="s">
        <v>24</v>
      </c>
      <c r="J2" s="19" t="s">
        <v>64</v>
      </c>
    </row>
    <row r="3" spans="1:10" x14ac:dyDescent="0.2">
      <c r="A3" s="20" t="s">
        <v>34</v>
      </c>
      <c r="B3" s="6" t="s">
        <v>35</v>
      </c>
      <c r="C3" s="8">
        <v>1003200</v>
      </c>
      <c r="D3" s="8">
        <v>580800</v>
      </c>
      <c r="E3" s="8">
        <v>369600</v>
      </c>
      <c r="F3" s="8">
        <v>237600</v>
      </c>
      <c r="G3" s="8">
        <v>132000</v>
      </c>
      <c r="H3" s="8">
        <v>184800</v>
      </c>
      <c r="I3" s="8">
        <v>132000</v>
      </c>
      <c r="J3" s="21">
        <f t="shared" ref="J3:J12" si="0">SUM(C3:I3)</f>
        <v>2640000</v>
      </c>
    </row>
    <row r="4" spans="1:10" x14ac:dyDescent="0.2">
      <c r="A4" s="22" t="s">
        <v>38</v>
      </c>
      <c r="B4" s="11" t="s">
        <v>39</v>
      </c>
      <c r="C4" s="13">
        <v>866400</v>
      </c>
      <c r="D4" s="13">
        <v>501600</v>
      </c>
      <c r="E4" s="13">
        <v>319200</v>
      </c>
      <c r="F4" s="13">
        <v>205200</v>
      </c>
      <c r="G4" s="13">
        <v>114000</v>
      </c>
      <c r="H4" s="13">
        <v>159600</v>
      </c>
      <c r="I4" s="13">
        <v>114000</v>
      </c>
      <c r="J4" s="21">
        <f t="shared" si="0"/>
        <v>2280000</v>
      </c>
    </row>
    <row r="5" spans="1:10" x14ac:dyDescent="0.2">
      <c r="A5" s="20" t="s">
        <v>41</v>
      </c>
      <c r="B5" s="6" t="s">
        <v>42</v>
      </c>
      <c r="C5" s="8">
        <v>547200</v>
      </c>
      <c r="D5" s="8">
        <v>316800</v>
      </c>
      <c r="E5" s="8">
        <v>201600</v>
      </c>
      <c r="F5" s="8">
        <v>129600</v>
      </c>
      <c r="G5" s="8">
        <v>72000</v>
      </c>
      <c r="H5" s="8">
        <v>100800</v>
      </c>
      <c r="I5" s="8">
        <v>72000</v>
      </c>
      <c r="J5" s="21">
        <f t="shared" si="0"/>
        <v>1440000</v>
      </c>
    </row>
    <row r="6" spans="1:10" x14ac:dyDescent="0.2">
      <c r="A6" s="22" t="s">
        <v>44</v>
      </c>
      <c r="B6" s="11" t="s">
        <v>45</v>
      </c>
      <c r="C6" s="13">
        <v>456000</v>
      </c>
      <c r="D6" s="13">
        <v>264000</v>
      </c>
      <c r="E6" s="13">
        <v>168000</v>
      </c>
      <c r="F6" s="13">
        <v>108000</v>
      </c>
      <c r="G6" s="13">
        <v>60000</v>
      </c>
      <c r="H6" s="13">
        <v>84000</v>
      </c>
      <c r="I6" s="13">
        <v>60000</v>
      </c>
      <c r="J6" s="21">
        <f t="shared" si="0"/>
        <v>1200000</v>
      </c>
    </row>
    <row r="7" spans="1:10" x14ac:dyDescent="0.2">
      <c r="A7" s="20" t="s">
        <v>47</v>
      </c>
      <c r="B7" s="6" t="s">
        <v>48</v>
      </c>
      <c r="C7" s="8">
        <v>364800</v>
      </c>
      <c r="D7" s="8">
        <v>211200</v>
      </c>
      <c r="E7" s="8">
        <v>134400</v>
      </c>
      <c r="F7" s="8">
        <v>86400</v>
      </c>
      <c r="G7" s="8">
        <v>48000</v>
      </c>
      <c r="H7" s="8">
        <v>67200</v>
      </c>
      <c r="I7" s="8">
        <v>48000</v>
      </c>
      <c r="J7" s="21">
        <f t="shared" si="0"/>
        <v>960000</v>
      </c>
    </row>
    <row r="8" spans="1:10" x14ac:dyDescent="0.2">
      <c r="A8" s="22" t="s">
        <v>49</v>
      </c>
      <c r="B8" s="11" t="s">
        <v>50</v>
      </c>
      <c r="C8" s="13">
        <v>410400</v>
      </c>
      <c r="D8" s="13">
        <v>237600</v>
      </c>
      <c r="E8" s="13">
        <v>151200</v>
      </c>
      <c r="F8" s="13">
        <v>97200</v>
      </c>
      <c r="G8" s="13">
        <v>54000</v>
      </c>
      <c r="H8" s="13">
        <v>75600</v>
      </c>
      <c r="I8" s="13">
        <v>54000</v>
      </c>
      <c r="J8" s="21">
        <f t="shared" si="0"/>
        <v>1080000</v>
      </c>
    </row>
    <row r="9" spans="1:10" x14ac:dyDescent="0.2">
      <c r="A9" s="20" t="s">
        <v>52</v>
      </c>
      <c r="B9" s="6" t="s">
        <v>53</v>
      </c>
      <c r="C9" s="8">
        <v>319200</v>
      </c>
      <c r="D9" s="8">
        <v>184800</v>
      </c>
      <c r="E9" s="8">
        <v>117600</v>
      </c>
      <c r="F9" s="8">
        <v>75600</v>
      </c>
      <c r="G9" s="8">
        <v>42000</v>
      </c>
      <c r="H9" s="8">
        <v>58800</v>
      </c>
      <c r="I9" s="8">
        <v>42000</v>
      </c>
      <c r="J9" s="21">
        <f t="shared" si="0"/>
        <v>840000</v>
      </c>
    </row>
    <row r="10" spans="1:10" x14ac:dyDescent="0.2">
      <c r="A10" s="22" t="s">
        <v>55</v>
      </c>
      <c r="B10" s="11" t="s">
        <v>56</v>
      </c>
      <c r="C10" s="13">
        <v>273600</v>
      </c>
      <c r="D10" s="13">
        <v>158400</v>
      </c>
      <c r="E10" s="13">
        <v>100800</v>
      </c>
      <c r="F10" s="13">
        <v>64800</v>
      </c>
      <c r="G10" s="13">
        <v>36000</v>
      </c>
      <c r="H10" s="13">
        <v>50400</v>
      </c>
      <c r="I10" s="13">
        <v>36000</v>
      </c>
      <c r="J10" s="21">
        <f t="shared" si="0"/>
        <v>720000</v>
      </c>
    </row>
    <row r="11" spans="1:10" x14ac:dyDescent="0.2">
      <c r="A11" s="20" t="s">
        <v>57</v>
      </c>
      <c r="B11" s="6" t="s">
        <v>58</v>
      </c>
      <c r="C11" s="8">
        <v>182400</v>
      </c>
      <c r="D11" s="8">
        <v>105600</v>
      </c>
      <c r="E11" s="8">
        <v>67200</v>
      </c>
      <c r="F11" s="8">
        <v>43200</v>
      </c>
      <c r="G11" s="8">
        <v>24000</v>
      </c>
      <c r="H11" s="8">
        <v>33600</v>
      </c>
      <c r="I11" s="8">
        <v>24000</v>
      </c>
      <c r="J11" s="21">
        <f t="shared" si="0"/>
        <v>480000</v>
      </c>
    </row>
    <row r="12" spans="1:10" x14ac:dyDescent="0.2">
      <c r="A12" s="22" t="s">
        <v>60</v>
      </c>
      <c r="B12" s="11" t="s">
        <v>61</v>
      </c>
      <c r="C12" s="13">
        <v>136800</v>
      </c>
      <c r="D12" s="13">
        <v>79200</v>
      </c>
      <c r="E12" s="13">
        <v>50400</v>
      </c>
      <c r="F12" s="13">
        <v>32400</v>
      </c>
      <c r="G12" s="13">
        <v>18000</v>
      </c>
      <c r="H12" s="13">
        <v>25200</v>
      </c>
      <c r="I12" s="13">
        <v>18000</v>
      </c>
      <c r="J12" s="21">
        <f t="shared" si="0"/>
        <v>360000</v>
      </c>
    </row>
    <row r="13" spans="1:10" ht="24" customHeight="1" x14ac:dyDescent="0.2">
      <c r="A13" s="23" t="s">
        <v>65</v>
      </c>
      <c r="B13" s="23" t="s">
        <v>66</v>
      </c>
      <c r="C13" s="16">
        <f t="shared" ref="C13:J13" si="1">SUM(C3:C12)</f>
        <v>4560000</v>
      </c>
      <c r="D13" s="16">
        <f t="shared" si="1"/>
        <v>2640000</v>
      </c>
      <c r="E13" s="16">
        <f t="shared" si="1"/>
        <v>1680000</v>
      </c>
      <c r="F13" s="16">
        <f t="shared" si="1"/>
        <v>1080000</v>
      </c>
      <c r="G13" s="16">
        <f t="shared" si="1"/>
        <v>600000</v>
      </c>
      <c r="H13" s="16">
        <f t="shared" si="1"/>
        <v>840000</v>
      </c>
      <c r="I13" s="16">
        <f t="shared" si="1"/>
        <v>600000</v>
      </c>
      <c r="J13" s="16">
        <f t="shared" si="1"/>
        <v>12000000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3"/>
  <sheetViews>
    <sheetView showGridLines="0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Q1"/>
    </sheetView>
  </sheetViews>
  <sheetFormatPr baseColWidth="10" defaultColWidth="8.6640625" defaultRowHeight="15" x14ac:dyDescent="0.2"/>
  <cols>
    <col min="1" max="1" width="14" customWidth="1"/>
    <col min="2" max="2" width="26" customWidth="1"/>
    <col min="3" max="3" width="14" customWidth="1"/>
    <col min="4" max="15" width="10" customWidth="1"/>
    <col min="16" max="17" width="18" customWidth="1"/>
  </cols>
  <sheetData>
    <row r="1" spans="1:17" ht="31.5" customHeight="1" x14ac:dyDescent="0.2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0" customHeight="1" x14ac:dyDescent="0.2">
      <c r="A2" s="24" t="s">
        <v>28</v>
      </c>
      <c r="B2" s="24" t="s">
        <v>29</v>
      </c>
      <c r="C2" s="24" t="s">
        <v>1</v>
      </c>
      <c r="D2" s="25" t="s">
        <v>68</v>
      </c>
      <c r="E2" s="25" t="s">
        <v>69</v>
      </c>
      <c r="F2" s="25" t="s">
        <v>70</v>
      </c>
      <c r="G2" s="25" t="s">
        <v>71</v>
      </c>
      <c r="H2" s="25" t="s">
        <v>72</v>
      </c>
      <c r="I2" s="25" t="s">
        <v>73</v>
      </c>
      <c r="J2" s="25" t="s">
        <v>74</v>
      </c>
      <c r="K2" s="25" t="s">
        <v>75</v>
      </c>
      <c r="L2" s="25" t="s">
        <v>76</v>
      </c>
      <c r="M2" s="25" t="s">
        <v>77</v>
      </c>
      <c r="N2" s="25" t="s">
        <v>78</v>
      </c>
      <c r="O2" s="25" t="s">
        <v>79</v>
      </c>
      <c r="P2" s="26" t="s">
        <v>80</v>
      </c>
      <c r="Q2" s="26" t="s">
        <v>81</v>
      </c>
    </row>
    <row r="3" spans="1:17" x14ac:dyDescent="0.2">
      <c r="A3" s="20" t="s">
        <v>34</v>
      </c>
      <c r="B3" s="6" t="s">
        <v>35</v>
      </c>
      <c r="C3" s="5" t="s">
        <v>8</v>
      </c>
      <c r="D3" s="8">
        <v>66663</v>
      </c>
      <c r="E3" s="8">
        <v>63342</v>
      </c>
      <c r="F3" s="8">
        <v>69308</v>
      </c>
      <c r="G3" s="8">
        <v>81496</v>
      </c>
      <c r="H3" s="8">
        <v>95439</v>
      </c>
      <c r="I3" s="8">
        <v>92841</v>
      </c>
      <c r="J3" s="8">
        <v>88846</v>
      </c>
      <c r="K3" s="8">
        <v>80417</v>
      </c>
      <c r="L3" s="8">
        <v>80905</v>
      </c>
      <c r="M3" s="8">
        <v>68033</v>
      </c>
      <c r="N3" s="8">
        <v>65466</v>
      </c>
      <c r="O3" s="8">
        <v>70284</v>
      </c>
      <c r="P3" s="21">
        <f t="shared" ref="P3:P34" si="0">SUM(D3:O3)</f>
        <v>923040</v>
      </c>
      <c r="Q3" s="27">
        <f>P3/1003200-1</f>
        <v>-7.99043062200957E-2</v>
      </c>
    </row>
    <row r="4" spans="1:17" x14ac:dyDescent="0.2">
      <c r="A4" s="22" t="s">
        <v>34</v>
      </c>
      <c r="B4" s="11" t="s">
        <v>35</v>
      </c>
      <c r="C4" s="10" t="s">
        <v>11</v>
      </c>
      <c r="D4" s="13">
        <v>34892</v>
      </c>
      <c r="E4" s="13">
        <v>37776</v>
      </c>
      <c r="F4" s="13">
        <v>42622</v>
      </c>
      <c r="G4" s="13">
        <v>49723</v>
      </c>
      <c r="H4" s="13">
        <v>50859</v>
      </c>
      <c r="I4" s="13">
        <v>53019</v>
      </c>
      <c r="J4" s="13">
        <v>50796</v>
      </c>
      <c r="K4" s="13">
        <v>45916</v>
      </c>
      <c r="L4" s="13">
        <v>49753</v>
      </c>
      <c r="M4" s="13">
        <v>43942</v>
      </c>
      <c r="N4" s="13">
        <v>38674</v>
      </c>
      <c r="O4" s="13">
        <v>38415</v>
      </c>
      <c r="P4" s="21">
        <f t="shared" si="0"/>
        <v>536387</v>
      </c>
      <c r="Q4" s="27">
        <f>P4/580800-1</f>
        <v>-7.6468663911845702E-2</v>
      </c>
    </row>
    <row r="5" spans="1:17" x14ac:dyDescent="0.2">
      <c r="A5" s="20" t="s">
        <v>34</v>
      </c>
      <c r="B5" s="6" t="s">
        <v>35</v>
      </c>
      <c r="C5" s="5" t="s">
        <v>13</v>
      </c>
      <c r="D5" s="8">
        <v>25781</v>
      </c>
      <c r="E5" s="8">
        <v>24596</v>
      </c>
      <c r="F5" s="8">
        <v>24762</v>
      </c>
      <c r="G5" s="8">
        <v>29389</v>
      </c>
      <c r="H5" s="8">
        <v>35764</v>
      </c>
      <c r="I5" s="8">
        <v>33816</v>
      </c>
      <c r="J5" s="8">
        <v>32314</v>
      </c>
      <c r="K5" s="8">
        <v>32890</v>
      </c>
      <c r="L5" s="8">
        <v>30359</v>
      </c>
      <c r="M5" s="8">
        <v>29156</v>
      </c>
      <c r="N5" s="8">
        <v>24765</v>
      </c>
      <c r="O5" s="8">
        <v>26087</v>
      </c>
      <c r="P5" s="21">
        <f t="shared" si="0"/>
        <v>349679</v>
      </c>
      <c r="Q5" s="27">
        <f>P5/369600-1</f>
        <v>-5.3898809523809543E-2</v>
      </c>
    </row>
    <row r="6" spans="1:17" x14ac:dyDescent="0.2">
      <c r="A6" s="22" t="s">
        <v>34</v>
      </c>
      <c r="B6" s="11" t="s">
        <v>35</v>
      </c>
      <c r="C6" s="10" t="s">
        <v>16</v>
      </c>
      <c r="D6" s="13">
        <v>16258</v>
      </c>
      <c r="E6" s="13">
        <v>16544</v>
      </c>
      <c r="F6" s="13">
        <v>18013</v>
      </c>
      <c r="G6" s="13">
        <v>20446</v>
      </c>
      <c r="H6" s="13">
        <v>22493</v>
      </c>
      <c r="I6" s="13">
        <v>19830</v>
      </c>
      <c r="J6" s="13">
        <v>18938</v>
      </c>
      <c r="K6" s="13">
        <v>19707</v>
      </c>
      <c r="L6" s="13">
        <v>18099</v>
      </c>
      <c r="M6" s="13">
        <v>16679</v>
      </c>
      <c r="N6" s="13">
        <v>15199</v>
      </c>
      <c r="O6" s="13">
        <v>16041</v>
      </c>
      <c r="P6" s="21">
        <f t="shared" si="0"/>
        <v>218247</v>
      </c>
      <c r="Q6" s="27">
        <f>P6/237600-1</f>
        <v>-8.1452020202020248E-2</v>
      </c>
    </row>
    <row r="7" spans="1:17" x14ac:dyDescent="0.2">
      <c r="A7" s="20" t="s">
        <v>34</v>
      </c>
      <c r="B7" s="6" t="s">
        <v>35</v>
      </c>
      <c r="C7" s="5" t="s">
        <v>18</v>
      </c>
      <c r="D7" s="8">
        <v>8766</v>
      </c>
      <c r="E7" s="8">
        <v>8825</v>
      </c>
      <c r="F7" s="8">
        <v>9264</v>
      </c>
      <c r="G7" s="8">
        <v>10699</v>
      </c>
      <c r="H7" s="8">
        <v>11649</v>
      </c>
      <c r="I7" s="8">
        <v>12710</v>
      </c>
      <c r="J7" s="8">
        <v>11261</v>
      </c>
      <c r="K7" s="8">
        <v>11528</v>
      </c>
      <c r="L7" s="8">
        <v>10213</v>
      </c>
      <c r="M7" s="8">
        <v>10035</v>
      </c>
      <c r="N7" s="8">
        <v>8534</v>
      </c>
      <c r="O7" s="8">
        <v>9062</v>
      </c>
      <c r="P7" s="21">
        <f t="shared" si="0"/>
        <v>122546</v>
      </c>
      <c r="Q7" s="27">
        <f>P7/132000-1</f>
        <v>-7.1621212121212086E-2</v>
      </c>
    </row>
    <row r="8" spans="1:17" x14ac:dyDescent="0.2">
      <c r="A8" s="22" t="s">
        <v>34</v>
      </c>
      <c r="B8" s="11" t="s">
        <v>35</v>
      </c>
      <c r="C8" s="10" t="s">
        <v>21</v>
      </c>
      <c r="D8" s="13">
        <v>12953</v>
      </c>
      <c r="E8" s="13">
        <v>12911</v>
      </c>
      <c r="F8" s="13">
        <v>13365</v>
      </c>
      <c r="G8" s="13">
        <v>16172</v>
      </c>
      <c r="H8" s="13">
        <v>17869</v>
      </c>
      <c r="I8" s="13">
        <v>17366</v>
      </c>
      <c r="J8" s="13">
        <v>14732</v>
      </c>
      <c r="K8" s="13">
        <v>14675</v>
      </c>
      <c r="L8" s="13">
        <v>14646</v>
      </c>
      <c r="M8" s="13">
        <v>13048</v>
      </c>
      <c r="N8" s="13">
        <v>12044</v>
      </c>
      <c r="O8" s="13">
        <v>13853</v>
      </c>
      <c r="P8" s="21">
        <f t="shared" si="0"/>
        <v>173634</v>
      </c>
      <c r="Q8" s="27">
        <f>P8/184800-1</f>
        <v>-6.0422077922077877E-2</v>
      </c>
    </row>
    <row r="9" spans="1:17" x14ac:dyDescent="0.2">
      <c r="A9" s="20" t="s">
        <v>34</v>
      </c>
      <c r="B9" s="6" t="s">
        <v>35</v>
      </c>
      <c r="C9" s="5" t="s">
        <v>24</v>
      </c>
      <c r="D9" s="8">
        <v>9097</v>
      </c>
      <c r="E9" s="8">
        <v>8753</v>
      </c>
      <c r="F9" s="8">
        <v>9695</v>
      </c>
      <c r="G9" s="8">
        <v>11033</v>
      </c>
      <c r="H9" s="8">
        <v>12903</v>
      </c>
      <c r="I9" s="8">
        <v>11802</v>
      </c>
      <c r="J9" s="8">
        <v>10586</v>
      </c>
      <c r="K9" s="8">
        <v>10871</v>
      </c>
      <c r="L9" s="8">
        <v>10886</v>
      </c>
      <c r="M9" s="8">
        <v>9313</v>
      </c>
      <c r="N9" s="8">
        <v>9142</v>
      </c>
      <c r="O9" s="8">
        <v>9828</v>
      </c>
      <c r="P9" s="21">
        <f t="shared" si="0"/>
        <v>123909</v>
      </c>
      <c r="Q9" s="27">
        <f>P9/132000-1</f>
        <v>-6.1295454545454597E-2</v>
      </c>
    </row>
    <row r="10" spans="1:17" x14ac:dyDescent="0.2">
      <c r="A10" s="22" t="s">
        <v>38</v>
      </c>
      <c r="B10" s="11" t="s">
        <v>39</v>
      </c>
      <c r="C10" s="10" t="s">
        <v>8</v>
      </c>
      <c r="D10" s="13">
        <v>55410</v>
      </c>
      <c r="E10" s="13">
        <v>56545</v>
      </c>
      <c r="F10" s="13">
        <v>67035</v>
      </c>
      <c r="G10" s="13">
        <v>73756</v>
      </c>
      <c r="H10" s="13">
        <v>74222</v>
      </c>
      <c r="I10" s="13">
        <v>72326</v>
      </c>
      <c r="J10" s="13">
        <v>67691</v>
      </c>
      <c r="K10" s="13">
        <v>75882</v>
      </c>
      <c r="L10" s="13">
        <v>74063</v>
      </c>
      <c r="M10" s="13">
        <v>62745</v>
      </c>
      <c r="N10" s="13">
        <v>55069</v>
      </c>
      <c r="O10" s="13">
        <v>59499</v>
      </c>
      <c r="P10" s="21">
        <f t="shared" si="0"/>
        <v>794243</v>
      </c>
      <c r="Q10" s="27">
        <f>P10/866400-1</f>
        <v>-8.3283702677746985E-2</v>
      </c>
    </row>
    <row r="11" spans="1:17" x14ac:dyDescent="0.2">
      <c r="A11" s="20" t="s">
        <v>38</v>
      </c>
      <c r="B11" s="6" t="s">
        <v>39</v>
      </c>
      <c r="C11" s="5" t="s">
        <v>11</v>
      </c>
      <c r="D11" s="8">
        <v>35192</v>
      </c>
      <c r="E11" s="8">
        <v>34436</v>
      </c>
      <c r="F11" s="8">
        <v>38657</v>
      </c>
      <c r="G11" s="8">
        <v>45097</v>
      </c>
      <c r="H11" s="8">
        <v>42386</v>
      </c>
      <c r="I11" s="8">
        <v>46738</v>
      </c>
      <c r="J11" s="8">
        <v>43015</v>
      </c>
      <c r="K11" s="8">
        <v>43309</v>
      </c>
      <c r="L11" s="8">
        <v>39436</v>
      </c>
      <c r="M11" s="8">
        <v>37614</v>
      </c>
      <c r="N11" s="8">
        <v>32146</v>
      </c>
      <c r="O11" s="8">
        <v>34746</v>
      </c>
      <c r="P11" s="21">
        <f t="shared" si="0"/>
        <v>472772</v>
      </c>
      <c r="Q11" s="27">
        <f>P11/501600-1</f>
        <v>-5.7472089314194563E-2</v>
      </c>
    </row>
    <row r="12" spans="1:17" x14ac:dyDescent="0.2">
      <c r="A12" s="22" t="s">
        <v>38</v>
      </c>
      <c r="B12" s="11" t="s">
        <v>39</v>
      </c>
      <c r="C12" s="10" t="s">
        <v>13</v>
      </c>
      <c r="D12" s="13">
        <v>20594</v>
      </c>
      <c r="E12" s="13">
        <v>23396</v>
      </c>
      <c r="F12" s="13">
        <v>24252</v>
      </c>
      <c r="G12" s="13">
        <v>26105</v>
      </c>
      <c r="H12" s="13">
        <v>29263</v>
      </c>
      <c r="I12" s="13">
        <v>27251</v>
      </c>
      <c r="J12" s="13">
        <v>28356</v>
      </c>
      <c r="K12" s="13">
        <v>29022</v>
      </c>
      <c r="L12" s="13">
        <v>25227</v>
      </c>
      <c r="M12" s="13">
        <v>23928</v>
      </c>
      <c r="N12" s="13">
        <v>22192</v>
      </c>
      <c r="O12" s="13">
        <v>21103</v>
      </c>
      <c r="P12" s="21">
        <f t="shared" si="0"/>
        <v>300689</v>
      </c>
      <c r="Q12" s="27">
        <f>P12/319200-1</f>
        <v>-5.7991854636591511E-2</v>
      </c>
    </row>
    <row r="13" spans="1:17" x14ac:dyDescent="0.2">
      <c r="A13" s="20" t="s">
        <v>38</v>
      </c>
      <c r="B13" s="6" t="s">
        <v>39</v>
      </c>
      <c r="C13" s="5" t="s">
        <v>16</v>
      </c>
      <c r="D13" s="8">
        <v>13898</v>
      </c>
      <c r="E13" s="8">
        <v>14110</v>
      </c>
      <c r="F13" s="8">
        <v>15362</v>
      </c>
      <c r="G13" s="8">
        <v>17527</v>
      </c>
      <c r="H13" s="8">
        <v>17307</v>
      </c>
      <c r="I13" s="8">
        <v>17948</v>
      </c>
      <c r="J13" s="8">
        <v>15785</v>
      </c>
      <c r="K13" s="8">
        <v>18822</v>
      </c>
      <c r="L13" s="8">
        <v>17773</v>
      </c>
      <c r="M13" s="8">
        <v>15847</v>
      </c>
      <c r="N13" s="8">
        <v>13590</v>
      </c>
      <c r="O13" s="8">
        <v>13348</v>
      </c>
      <c r="P13" s="21">
        <f t="shared" si="0"/>
        <v>191317</v>
      </c>
      <c r="Q13" s="27">
        <f>P13/205200-1</f>
        <v>-6.7655945419103358E-2</v>
      </c>
    </row>
    <row r="14" spans="1:17" x14ac:dyDescent="0.2">
      <c r="A14" s="22" t="s">
        <v>38</v>
      </c>
      <c r="B14" s="11" t="s">
        <v>39</v>
      </c>
      <c r="C14" s="10" t="s">
        <v>18</v>
      </c>
      <c r="D14" s="13">
        <v>7858</v>
      </c>
      <c r="E14" s="13">
        <v>8347</v>
      </c>
      <c r="F14" s="13">
        <v>7628</v>
      </c>
      <c r="G14" s="13">
        <v>9668</v>
      </c>
      <c r="H14" s="13">
        <v>9730</v>
      </c>
      <c r="I14" s="13">
        <v>10688</v>
      </c>
      <c r="J14" s="13">
        <v>9904</v>
      </c>
      <c r="K14" s="13">
        <v>9203</v>
      </c>
      <c r="L14" s="13">
        <v>9273</v>
      </c>
      <c r="M14" s="13">
        <v>8427</v>
      </c>
      <c r="N14" s="13">
        <v>7497</v>
      </c>
      <c r="O14" s="13">
        <v>8456</v>
      </c>
      <c r="P14" s="21">
        <f t="shared" si="0"/>
        <v>106679</v>
      </c>
      <c r="Q14" s="27">
        <f>P14/114000-1</f>
        <v>-6.4219298245614009E-2</v>
      </c>
    </row>
    <row r="15" spans="1:17" x14ac:dyDescent="0.2">
      <c r="A15" s="20" t="s">
        <v>38</v>
      </c>
      <c r="B15" s="6" t="s">
        <v>39</v>
      </c>
      <c r="C15" s="5" t="s">
        <v>21</v>
      </c>
      <c r="D15" s="8">
        <v>10246</v>
      </c>
      <c r="E15" s="8">
        <v>10403</v>
      </c>
      <c r="F15" s="8">
        <v>11510</v>
      </c>
      <c r="G15" s="8">
        <v>14065</v>
      </c>
      <c r="H15" s="8">
        <v>13930</v>
      </c>
      <c r="I15" s="8">
        <v>13931</v>
      </c>
      <c r="J15" s="8">
        <v>14354</v>
      </c>
      <c r="K15" s="8">
        <v>14028</v>
      </c>
      <c r="L15" s="8">
        <v>12905</v>
      </c>
      <c r="M15" s="8">
        <v>11737</v>
      </c>
      <c r="N15" s="8">
        <v>10245</v>
      </c>
      <c r="O15" s="8">
        <v>10680</v>
      </c>
      <c r="P15" s="21">
        <f t="shared" si="0"/>
        <v>148034</v>
      </c>
      <c r="Q15" s="27">
        <f>P15/159600-1</f>
        <v>-7.2468671679198016E-2</v>
      </c>
    </row>
    <row r="16" spans="1:17" x14ac:dyDescent="0.2">
      <c r="A16" s="22" t="s">
        <v>38</v>
      </c>
      <c r="B16" s="11" t="s">
        <v>39</v>
      </c>
      <c r="C16" s="10" t="s">
        <v>24</v>
      </c>
      <c r="D16" s="13">
        <v>7218</v>
      </c>
      <c r="E16" s="13">
        <v>7900</v>
      </c>
      <c r="F16" s="13">
        <v>7817</v>
      </c>
      <c r="G16" s="13">
        <v>9256</v>
      </c>
      <c r="H16" s="13">
        <v>9733</v>
      </c>
      <c r="I16" s="13">
        <v>10475</v>
      </c>
      <c r="J16" s="13">
        <v>9088</v>
      </c>
      <c r="K16" s="13">
        <v>10420</v>
      </c>
      <c r="L16" s="13">
        <v>9846</v>
      </c>
      <c r="M16" s="13">
        <v>7786</v>
      </c>
      <c r="N16" s="13">
        <v>7463</v>
      </c>
      <c r="O16" s="13">
        <v>8196</v>
      </c>
      <c r="P16" s="21">
        <f t="shared" si="0"/>
        <v>105198</v>
      </c>
      <c r="Q16" s="27">
        <f>P16/114000-1</f>
        <v>-7.7210526315789507E-2</v>
      </c>
    </row>
    <row r="17" spans="1:17" x14ac:dyDescent="0.2">
      <c r="A17" s="20" t="s">
        <v>41</v>
      </c>
      <c r="B17" s="6" t="s">
        <v>42</v>
      </c>
      <c r="C17" s="5" t="s">
        <v>8</v>
      </c>
      <c r="D17" s="8">
        <v>33942</v>
      </c>
      <c r="E17" s="8">
        <v>35192</v>
      </c>
      <c r="F17" s="8">
        <v>41949</v>
      </c>
      <c r="G17" s="8">
        <v>47041</v>
      </c>
      <c r="H17" s="8">
        <v>49941</v>
      </c>
      <c r="I17" s="8">
        <v>51491</v>
      </c>
      <c r="J17" s="8">
        <v>47843</v>
      </c>
      <c r="K17" s="8">
        <v>44641</v>
      </c>
      <c r="L17" s="8">
        <v>41806</v>
      </c>
      <c r="M17" s="8">
        <v>39685</v>
      </c>
      <c r="N17" s="8">
        <v>36935</v>
      </c>
      <c r="O17" s="8">
        <v>38102</v>
      </c>
      <c r="P17" s="21">
        <f t="shared" si="0"/>
        <v>508568</v>
      </c>
      <c r="Q17" s="27">
        <f>P17/547200-1</f>
        <v>-7.0599415204678384E-2</v>
      </c>
    </row>
    <row r="18" spans="1:17" x14ac:dyDescent="0.2">
      <c r="A18" s="22" t="s">
        <v>41</v>
      </c>
      <c r="B18" s="11" t="s">
        <v>42</v>
      </c>
      <c r="C18" s="10" t="s">
        <v>11</v>
      </c>
      <c r="D18" s="13">
        <v>21347</v>
      </c>
      <c r="E18" s="13">
        <v>22248</v>
      </c>
      <c r="F18" s="13">
        <v>24463</v>
      </c>
      <c r="G18" s="13">
        <v>25198</v>
      </c>
      <c r="H18" s="13">
        <v>28588</v>
      </c>
      <c r="I18" s="13">
        <v>27779</v>
      </c>
      <c r="J18" s="13">
        <v>27928</v>
      </c>
      <c r="K18" s="13">
        <v>26098</v>
      </c>
      <c r="L18" s="13">
        <v>24590</v>
      </c>
      <c r="M18" s="13">
        <v>23041</v>
      </c>
      <c r="N18" s="13">
        <v>21377</v>
      </c>
      <c r="O18" s="13">
        <v>21390</v>
      </c>
      <c r="P18" s="21">
        <f t="shared" si="0"/>
        <v>294047</v>
      </c>
      <c r="Q18" s="27">
        <f>P18/316800-1</f>
        <v>-7.1821338383838418E-2</v>
      </c>
    </row>
    <row r="19" spans="1:17" x14ac:dyDescent="0.2">
      <c r="A19" s="20" t="s">
        <v>41</v>
      </c>
      <c r="B19" s="6" t="s">
        <v>42</v>
      </c>
      <c r="C19" s="5" t="s">
        <v>13</v>
      </c>
      <c r="D19" s="8">
        <v>12579</v>
      </c>
      <c r="E19" s="8">
        <v>14709</v>
      </c>
      <c r="F19" s="8">
        <v>14317</v>
      </c>
      <c r="G19" s="8">
        <v>18127</v>
      </c>
      <c r="H19" s="8">
        <v>18629</v>
      </c>
      <c r="I19" s="8">
        <v>16839</v>
      </c>
      <c r="J19" s="8">
        <v>18142</v>
      </c>
      <c r="K19" s="8">
        <v>18234</v>
      </c>
      <c r="L19" s="8">
        <v>17699</v>
      </c>
      <c r="M19" s="8">
        <v>15793</v>
      </c>
      <c r="N19" s="8">
        <v>14545</v>
      </c>
      <c r="O19" s="8">
        <v>13359</v>
      </c>
      <c r="P19" s="21">
        <f t="shared" si="0"/>
        <v>192972</v>
      </c>
      <c r="Q19" s="28">
        <f>P19/201600-1</f>
        <v>-4.2797619047619029E-2</v>
      </c>
    </row>
    <row r="20" spans="1:17" x14ac:dyDescent="0.2">
      <c r="A20" s="22" t="s">
        <v>41</v>
      </c>
      <c r="B20" s="11" t="s">
        <v>42</v>
      </c>
      <c r="C20" s="10" t="s">
        <v>16</v>
      </c>
      <c r="D20" s="13">
        <v>8405</v>
      </c>
      <c r="E20" s="13">
        <v>8450</v>
      </c>
      <c r="F20" s="13">
        <v>9141</v>
      </c>
      <c r="G20" s="13">
        <v>10238</v>
      </c>
      <c r="H20" s="13">
        <v>11650</v>
      </c>
      <c r="I20" s="13">
        <v>12570</v>
      </c>
      <c r="J20" s="13">
        <v>10394</v>
      </c>
      <c r="K20" s="13">
        <v>11630</v>
      </c>
      <c r="L20" s="13">
        <v>10508</v>
      </c>
      <c r="M20" s="13">
        <v>9387</v>
      </c>
      <c r="N20" s="13">
        <v>9504</v>
      </c>
      <c r="O20" s="13">
        <v>9791</v>
      </c>
      <c r="P20" s="21">
        <f t="shared" si="0"/>
        <v>121668</v>
      </c>
      <c r="Q20" s="27">
        <f>P20/129600-1</f>
        <v>-6.1203703703703649E-2</v>
      </c>
    </row>
    <row r="21" spans="1:17" x14ac:dyDescent="0.2">
      <c r="A21" s="20" t="s">
        <v>41</v>
      </c>
      <c r="B21" s="6" t="s">
        <v>42</v>
      </c>
      <c r="C21" s="5" t="s">
        <v>18</v>
      </c>
      <c r="D21" s="8">
        <v>4722</v>
      </c>
      <c r="E21" s="8">
        <v>5092</v>
      </c>
      <c r="F21" s="8">
        <v>4875</v>
      </c>
      <c r="G21" s="8">
        <v>5921</v>
      </c>
      <c r="H21" s="8">
        <v>7095</v>
      </c>
      <c r="I21" s="8">
        <v>6562</v>
      </c>
      <c r="J21" s="8">
        <v>6041</v>
      </c>
      <c r="K21" s="8">
        <v>6425</v>
      </c>
      <c r="L21" s="8">
        <v>5463</v>
      </c>
      <c r="M21" s="8">
        <v>5351</v>
      </c>
      <c r="N21" s="8">
        <v>4922</v>
      </c>
      <c r="O21" s="8">
        <v>5324</v>
      </c>
      <c r="P21" s="21">
        <f t="shared" si="0"/>
        <v>67793</v>
      </c>
      <c r="Q21" s="27">
        <f>P21/72000-1</f>
        <v>-5.8430555555555541E-2</v>
      </c>
    </row>
    <row r="22" spans="1:17" x14ac:dyDescent="0.2">
      <c r="A22" s="22" t="s">
        <v>41</v>
      </c>
      <c r="B22" s="11" t="s">
        <v>42</v>
      </c>
      <c r="C22" s="10" t="s">
        <v>21</v>
      </c>
      <c r="D22" s="13">
        <v>6193</v>
      </c>
      <c r="E22" s="13">
        <v>7396</v>
      </c>
      <c r="F22" s="13">
        <v>6739</v>
      </c>
      <c r="G22" s="13">
        <v>8137</v>
      </c>
      <c r="H22" s="13">
        <v>9380</v>
      </c>
      <c r="I22" s="13">
        <v>9326</v>
      </c>
      <c r="J22" s="13">
        <v>8044</v>
      </c>
      <c r="K22" s="13">
        <v>8126</v>
      </c>
      <c r="L22" s="13">
        <v>8746</v>
      </c>
      <c r="M22" s="13">
        <v>7092</v>
      </c>
      <c r="N22" s="13">
        <v>6992</v>
      </c>
      <c r="O22" s="13">
        <v>7191</v>
      </c>
      <c r="P22" s="21">
        <f t="shared" si="0"/>
        <v>93362</v>
      </c>
      <c r="Q22" s="27">
        <f>P22/100800-1</f>
        <v>-7.3789682539682544E-2</v>
      </c>
    </row>
    <row r="23" spans="1:17" x14ac:dyDescent="0.2">
      <c r="A23" s="20" t="s">
        <v>41</v>
      </c>
      <c r="B23" s="6" t="s">
        <v>42</v>
      </c>
      <c r="C23" s="5" t="s">
        <v>24</v>
      </c>
      <c r="D23" s="8">
        <v>4620</v>
      </c>
      <c r="E23" s="8">
        <v>4986</v>
      </c>
      <c r="F23" s="8">
        <v>5179</v>
      </c>
      <c r="G23" s="8">
        <v>6546</v>
      </c>
      <c r="H23" s="8">
        <v>6288</v>
      </c>
      <c r="I23" s="8">
        <v>6704</v>
      </c>
      <c r="J23" s="8">
        <v>5749</v>
      </c>
      <c r="K23" s="8">
        <v>6077</v>
      </c>
      <c r="L23" s="8">
        <v>6042</v>
      </c>
      <c r="M23" s="8">
        <v>5111</v>
      </c>
      <c r="N23" s="8">
        <v>4775</v>
      </c>
      <c r="O23" s="8">
        <v>5243</v>
      </c>
      <c r="P23" s="21">
        <f t="shared" si="0"/>
        <v>67320</v>
      </c>
      <c r="Q23" s="27">
        <f>P23/72000-1</f>
        <v>-6.4999999999999947E-2</v>
      </c>
    </row>
    <row r="24" spans="1:17" x14ac:dyDescent="0.2">
      <c r="A24" s="22" t="s">
        <v>44</v>
      </c>
      <c r="B24" s="11" t="s">
        <v>45</v>
      </c>
      <c r="C24" s="10" t="s">
        <v>8</v>
      </c>
      <c r="D24" s="13">
        <v>27613</v>
      </c>
      <c r="E24" s="13">
        <v>30952</v>
      </c>
      <c r="F24" s="13">
        <v>35286</v>
      </c>
      <c r="G24" s="13">
        <v>41837</v>
      </c>
      <c r="H24" s="13">
        <v>38946</v>
      </c>
      <c r="I24" s="13">
        <v>39156</v>
      </c>
      <c r="J24" s="13">
        <v>36572</v>
      </c>
      <c r="K24" s="13">
        <v>41853</v>
      </c>
      <c r="L24" s="13">
        <v>39509</v>
      </c>
      <c r="M24" s="13">
        <v>35469</v>
      </c>
      <c r="N24" s="13">
        <v>30510</v>
      </c>
      <c r="O24" s="13">
        <v>30172</v>
      </c>
      <c r="P24" s="21">
        <f t="shared" si="0"/>
        <v>427875</v>
      </c>
      <c r="Q24" s="27">
        <f>P24/456000-1</f>
        <v>-6.1677631578947345E-2</v>
      </c>
    </row>
    <row r="25" spans="1:17" x14ac:dyDescent="0.2">
      <c r="A25" s="20" t="s">
        <v>44</v>
      </c>
      <c r="B25" s="6" t="s">
        <v>45</v>
      </c>
      <c r="C25" s="5" t="s">
        <v>11</v>
      </c>
      <c r="D25" s="8">
        <v>18076</v>
      </c>
      <c r="E25" s="8">
        <v>18627</v>
      </c>
      <c r="F25" s="8">
        <v>19258</v>
      </c>
      <c r="G25" s="8">
        <v>24189</v>
      </c>
      <c r="H25" s="8">
        <v>24796</v>
      </c>
      <c r="I25" s="8">
        <v>21889</v>
      </c>
      <c r="J25" s="8">
        <v>23116</v>
      </c>
      <c r="K25" s="8">
        <v>21933</v>
      </c>
      <c r="L25" s="8">
        <v>22124</v>
      </c>
      <c r="M25" s="8">
        <v>20720</v>
      </c>
      <c r="N25" s="8">
        <v>16984</v>
      </c>
      <c r="O25" s="8">
        <v>17343</v>
      </c>
      <c r="P25" s="21">
        <f t="shared" si="0"/>
        <v>249055</v>
      </c>
      <c r="Q25" s="27">
        <f>P25/264000-1</f>
        <v>-5.6609848484848513E-2</v>
      </c>
    </row>
    <row r="26" spans="1:17" x14ac:dyDescent="0.2">
      <c r="A26" s="22" t="s">
        <v>44</v>
      </c>
      <c r="B26" s="11" t="s">
        <v>45</v>
      </c>
      <c r="C26" s="10" t="s">
        <v>13</v>
      </c>
      <c r="D26" s="13">
        <v>10233</v>
      </c>
      <c r="E26" s="13">
        <v>11578</v>
      </c>
      <c r="F26" s="13">
        <v>11601</v>
      </c>
      <c r="G26" s="13">
        <v>14520</v>
      </c>
      <c r="H26" s="13">
        <v>15936</v>
      </c>
      <c r="I26" s="13">
        <v>14403</v>
      </c>
      <c r="J26" s="13">
        <v>14301</v>
      </c>
      <c r="K26" s="13">
        <v>13875</v>
      </c>
      <c r="L26" s="13">
        <v>13695</v>
      </c>
      <c r="M26" s="13">
        <v>13119</v>
      </c>
      <c r="N26" s="13">
        <v>12116</v>
      </c>
      <c r="O26" s="13">
        <v>10993</v>
      </c>
      <c r="P26" s="21">
        <f t="shared" si="0"/>
        <v>156370</v>
      </c>
      <c r="Q26" s="27">
        <f>P26/168000-1</f>
        <v>-6.9226190476190497E-2</v>
      </c>
    </row>
    <row r="27" spans="1:17" x14ac:dyDescent="0.2">
      <c r="A27" s="20" t="s">
        <v>44</v>
      </c>
      <c r="B27" s="6" t="s">
        <v>45</v>
      </c>
      <c r="C27" s="5" t="s">
        <v>16</v>
      </c>
      <c r="D27" s="8">
        <v>6934</v>
      </c>
      <c r="E27" s="8">
        <v>7116</v>
      </c>
      <c r="F27" s="8">
        <v>7125</v>
      </c>
      <c r="G27" s="8">
        <v>9578</v>
      </c>
      <c r="H27" s="8">
        <v>10117</v>
      </c>
      <c r="I27" s="8">
        <v>9350</v>
      </c>
      <c r="J27" s="8">
        <v>9347</v>
      </c>
      <c r="K27" s="8">
        <v>9347</v>
      </c>
      <c r="L27" s="8">
        <v>8718</v>
      </c>
      <c r="M27" s="8">
        <v>7299</v>
      </c>
      <c r="N27" s="8">
        <v>6878</v>
      </c>
      <c r="O27" s="8">
        <v>8023</v>
      </c>
      <c r="P27" s="21">
        <f t="shared" si="0"/>
        <v>99832</v>
      </c>
      <c r="Q27" s="27">
        <f>P27/108000-1</f>
        <v>-7.5629629629629602E-2</v>
      </c>
    </row>
    <row r="28" spans="1:17" x14ac:dyDescent="0.2">
      <c r="A28" s="22" t="s">
        <v>44</v>
      </c>
      <c r="B28" s="11" t="s">
        <v>45</v>
      </c>
      <c r="C28" s="10" t="s">
        <v>18</v>
      </c>
      <c r="D28" s="13">
        <v>4152</v>
      </c>
      <c r="E28" s="13">
        <v>4130</v>
      </c>
      <c r="F28" s="13">
        <v>4530</v>
      </c>
      <c r="G28" s="13">
        <v>5167</v>
      </c>
      <c r="H28" s="13">
        <v>5190</v>
      </c>
      <c r="I28" s="13">
        <v>5078</v>
      </c>
      <c r="J28" s="13">
        <v>4847</v>
      </c>
      <c r="K28" s="13">
        <v>5479</v>
      </c>
      <c r="L28" s="13">
        <v>5132</v>
      </c>
      <c r="M28" s="13">
        <v>4654</v>
      </c>
      <c r="N28" s="13">
        <v>4362</v>
      </c>
      <c r="O28" s="13">
        <v>4005</v>
      </c>
      <c r="P28" s="21">
        <f t="shared" si="0"/>
        <v>56726</v>
      </c>
      <c r="Q28" s="27">
        <f>P28/60000-1</f>
        <v>-5.4566666666666652E-2</v>
      </c>
    </row>
    <row r="29" spans="1:17" x14ac:dyDescent="0.2">
      <c r="A29" s="20" t="s">
        <v>44</v>
      </c>
      <c r="B29" s="6" t="s">
        <v>45</v>
      </c>
      <c r="C29" s="5" t="s">
        <v>21</v>
      </c>
      <c r="D29" s="8">
        <v>5241</v>
      </c>
      <c r="E29" s="8">
        <v>5375</v>
      </c>
      <c r="F29" s="8">
        <v>6290</v>
      </c>
      <c r="G29" s="8">
        <v>7579</v>
      </c>
      <c r="H29" s="8">
        <v>7585</v>
      </c>
      <c r="I29" s="8">
        <v>7706</v>
      </c>
      <c r="J29" s="8">
        <v>6613</v>
      </c>
      <c r="K29" s="8">
        <v>7706</v>
      </c>
      <c r="L29" s="8">
        <v>7260</v>
      </c>
      <c r="M29" s="8">
        <v>6629</v>
      </c>
      <c r="N29" s="8">
        <v>6025</v>
      </c>
      <c r="O29" s="8">
        <v>6239</v>
      </c>
      <c r="P29" s="21">
        <f t="shared" si="0"/>
        <v>80248</v>
      </c>
      <c r="Q29" s="28">
        <f>P29/84000-1</f>
        <v>-4.4666666666666632E-2</v>
      </c>
    </row>
    <row r="30" spans="1:17" x14ac:dyDescent="0.2">
      <c r="A30" s="22" t="s">
        <v>44</v>
      </c>
      <c r="B30" s="11" t="s">
        <v>45</v>
      </c>
      <c r="C30" s="10" t="s">
        <v>24</v>
      </c>
      <c r="D30" s="13">
        <v>3603</v>
      </c>
      <c r="E30" s="13">
        <v>4255</v>
      </c>
      <c r="F30" s="13">
        <v>4185</v>
      </c>
      <c r="G30" s="13">
        <v>5452</v>
      </c>
      <c r="H30" s="13">
        <v>5766</v>
      </c>
      <c r="I30" s="13">
        <v>5715</v>
      </c>
      <c r="J30" s="13">
        <v>5249</v>
      </c>
      <c r="K30" s="13">
        <v>4958</v>
      </c>
      <c r="L30" s="13">
        <v>5125</v>
      </c>
      <c r="M30" s="13">
        <v>4124</v>
      </c>
      <c r="N30" s="13">
        <v>4344</v>
      </c>
      <c r="O30" s="13">
        <v>4441</v>
      </c>
      <c r="P30" s="21">
        <f t="shared" si="0"/>
        <v>57217</v>
      </c>
      <c r="Q30" s="28">
        <f>P30/60000-1</f>
        <v>-4.6383333333333332E-2</v>
      </c>
    </row>
    <row r="31" spans="1:17" x14ac:dyDescent="0.2">
      <c r="A31" s="20" t="s">
        <v>47</v>
      </c>
      <c r="B31" s="6" t="s">
        <v>48</v>
      </c>
      <c r="C31" s="5" t="s">
        <v>8</v>
      </c>
      <c r="D31" s="8">
        <v>22659</v>
      </c>
      <c r="E31" s="8">
        <v>26191</v>
      </c>
      <c r="F31" s="8">
        <v>25978</v>
      </c>
      <c r="G31" s="8">
        <v>30041</v>
      </c>
      <c r="H31" s="8">
        <v>35020</v>
      </c>
      <c r="I31" s="8">
        <v>31401</v>
      </c>
      <c r="J31" s="8">
        <v>28083</v>
      </c>
      <c r="K31" s="8">
        <v>29775</v>
      </c>
      <c r="L31" s="8">
        <v>28973</v>
      </c>
      <c r="M31" s="8">
        <v>28312</v>
      </c>
      <c r="N31" s="8">
        <v>26790</v>
      </c>
      <c r="O31" s="8">
        <v>24634</v>
      </c>
      <c r="P31" s="21">
        <f t="shared" si="0"/>
        <v>337857</v>
      </c>
      <c r="Q31" s="27">
        <f>P31/364800-1</f>
        <v>-7.3856907894736867E-2</v>
      </c>
    </row>
    <row r="32" spans="1:17" x14ac:dyDescent="0.2">
      <c r="A32" s="22" t="s">
        <v>47</v>
      </c>
      <c r="B32" s="11" t="s">
        <v>48</v>
      </c>
      <c r="C32" s="10" t="s">
        <v>11</v>
      </c>
      <c r="D32" s="13">
        <v>14039</v>
      </c>
      <c r="E32" s="13">
        <v>14200</v>
      </c>
      <c r="F32" s="13">
        <v>16301</v>
      </c>
      <c r="G32" s="13">
        <v>18056</v>
      </c>
      <c r="H32" s="13">
        <v>20721</v>
      </c>
      <c r="I32" s="13">
        <v>17838</v>
      </c>
      <c r="J32" s="13">
        <v>18925</v>
      </c>
      <c r="K32" s="13">
        <v>17196</v>
      </c>
      <c r="L32" s="13">
        <v>18524</v>
      </c>
      <c r="M32" s="13">
        <v>14907</v>
      </c>
      <c r="N32" s="13">
        <v>13528</v>
      </c>
      <c r="O32" s="13">
        <v>14629</v>
      </c>
      <c r="P32" s="21">
        <f t="shared" si="0"/>
        <v>198864</v>
      </c>
      <c r="Q32" s="27">
        <f>P32/211200-1</f>
        <v>-5.8409090909090855E-2</v>
      </c>
    </row>
    <row r="33" spans="1:17" x14ac:dyDescent="0.2">
      <c r="A33" s="20" t="s">
        <v>47</v>
      </c>
      <c r="B33" s="6" t="s">
        <v>48</v>
      </c>
      <c r="C33" s="5" t="s">
        <v>13</v>
      </c>
      <c r="D33" s="8">
        <v>9055</v>
      </c>
      <c r="E33" s="8">
        <v>8910</v>
      </c>
      <c r="F33" s="8">
        <v>9796</v>
      </c>
      <c r="G33" s="8">
        <v>11445</v>
      </c>
      <c r="H33" s="8">
        <v>12094</v>
      </c>
      <c r="I33" s="8">
        <v>12244</v>
      </c>
      <c r="J33" s="8">
        <v>10760</v>
      </c>
      <c r="K33" s="8">
        <v>11921</v>
      </c>
      <c r="L33" s="8">
        <v>10101</v>
      </c>
      <c r="M33" s="8">
        <v>10527</v>
      </c>
      <c r="N33" s="8">
        <v>9241</v>
      </c>
      <c r="O33" s="8">
        <v>9738</v>
      </c>
      <c r="P33" s="21">
        <f t="shared" si="0"/>
        <v>125832</v>
      </c>
      <c r="Q33" s="27">
        <f>P33/134400-1</f>
        <v>-6.3749999999999973E-2</v>
      </c>
    </row>
    <row r="34" spans="1:17" x14ac:dyDescent="0.2">
      <c r="A34" s="22" t="s">
        <v>47</v>
      </c>
      <c r="B34" s="11" t="s">
        <v>48</v>
      </c>
      <c r="C34" s="10" t="s">
        <v>16</v>
      </c>
      <c r="D34" s="13">
        <v>5833</v>
      </c>
      <c r="E34" s="13">
        <v>6065</v>
      </c>
      <c r="F34" s="13">
        <v>6057</v>
      </c>
      <c r="G34" s="13">
        <v>6839</v>
      </c>
      <c r="H34" s="13">
        <v>8128</v>
      </c>
      <c r="I34" s="13">
        <v>7565</v>
      </c>
      <c r="J34" s="13">
        <v>6986</v>
      </c>
      <c r="K34" s="13">
        <v>7829</v>
      </c>
      <c r="L34" s="13">
        <v>7304</v>
      </c>
      <c r="M34" s="13">
        <v>6134</v>
      </c>
      <c r="N34" s="13">
        <v>5724</v>
      </c>
      <c r="O34" s="13">
        <v>5959</v>
      </c>
      <c r="P34" s="21">
        <f t="shared" si="0"/>
        <v>80423</v>
      </c>
      <c r="Q34" s="27">
        <f>P34/86400-1</f>
        <v>-6.9178240740740748E-2</v>
      </c>
    </row>
    <row r="35" spans="1:17" x14ac:dyDescent="0.2">
      <c r="A35" s="20" t="s">
        <v>47</v>
      </c>
      <c r="B35" s="6" t="s">
        <v>48</v>
      </c>
      <c r="C35" s="5" t="s">
        <v>18</v>
      </c>
      <c r="D35" s="8">
        <v>3071</v>
      </c>
      <c r="E35" s="8">
        <v>3173</v>
      </c>
      <c r="F35" s="8">
        <v>3235</v>
      </c>
      <c r="G35" s="8">
        <v>4028</v>
      </c>
      <c r="H35" s="8">
        <v>4710</v>
      </c>
      <c r="I35" s="8">
        <v>4443</v>
      </c>
      <c r="J35" s="8">
        <v>4258</v>
      </c>
      <c r="K35" s="8">
        <v>4196</v>
      </c>
      <c r="L35" s="8">
        <v>3795</v>
      </c>
      <c r="M35" s="8">
        <v>3547</v>
      </c>
      <c r="N35" s="8">
        <v>3018</v>
      </c>
      <c r="O35" s="8">
        <v>3245</v>
      </c>
      <c r="P35" s="21">
        <f t="shared" ref="P35:P66" si="1">SUM(D35:O35)</f>
        <v>44719</v>
      </c>
      <c r="Q35" s="27">
        <f>P35/48000-1</f>
        <v>-6.8354166666666716E-2</v>
      </c>
    </row>
    <row r="36" spans="1:17" x14ac:dyDescent="0.2">
      <c r="A36" s="22" t="s">
        <v>47</v>
      </c>
      <c r="B36" s="11" t="s">
        <v>48</v>
      </c>
      <c r="C36" s="10" t="s">
        <v>21</v>
      </c>
      <c r="D36" s="13">
        <v>4319</v>
      </c>
      <c r="E36" s="13">
        <v>4651</v>
      </c>
      <c r="F36" s="13">
        <v>4935</v>
      </c>
      <c r="G36" s="13">
        <v>5680</v>
      </c>
      <c r="H36" s="13">
        <v>6103</v>
      </c>
      <c r="I36" s="13">
        <v>5771</v>
      </c>
      <c r="J36" s="13">
        <v>5576</v>
      </c>
      <c r="K36" s="13">
        <v>6138</v>
      </c>
      <c r="L36" s="13">
        <v>5748</v>
      </c>
      <c r="M36" s="13">
        <v>4668</v>
      </c>
      <c r="N36" s="13">
        <v>4287</v>
      </c>
      <c r="O36" s="13">
        <v>4716</v>
      </c>
      <c r="P36" s="21">
        <f t="shared" si="1"/>
        <v>62592</v>
      </c>
      <c r="Q36" s="27">
        <f>P36/67200-1</f>
        <v>-6.8571428571428616E-2</v>
      </c>
    </row>
    <row r="37" spans="1:17" x14ac:dyDescent="0.2">
      <c r="A37" s="20" t="s">
        <v>47</v>
      </c>
      <c r="B37" s="6" t="s">
        <v>48</v>
      </c>
      <c r="C37" s="5" t="s">
        <v>24</v>
      </c>
      <c r="D37" s="8">
        <v>3186</v>
      </c>
      <c r="E37" s="8">
        <v>3194</v>
      </c>
      <c r="F37" s="8">
        <v>3615</v>
      </c>
      <c r="G37" s="8">
        <v>4244</v>
      </c>
      <c r="H37" s="8">
        <v>4522</v>
      </c>
      <c r="I37" s="8">
        <v>4130</v>
      </c>
      <c r="J37" s="8">
        <v>3807</v>
      </c>
      <c r="K37" s="8">
        <v>3807</v>
      </c>
      <c r="L37" s="8">
        <v>3760</v>
      </c>
      <c r="M37" s="8">
        <v>3506</v>
      </c>
      <c r="N37" s="8">
        <v>3464</v>
      </c>
      <c r="O37" s="8">
        <v>3130</v>
      </c>
      <c r="P37" s="21">
        <f t="shared" si="1"/>
        <v>44365</v>
      </c>
      <c r="Q37" s="27">
        <f>P37/48000-1</f>
        <v>-7.5729166666666625E-2</v>
      </c>
    </row>
    <row r="38" spans="1:17" x14ac:dyDescent="0.2">
      <c r="A38" s="22" t="s">
        <v>49</v>
      </c>
      <c r="B38" s="11" t="s">
        <v>50</v>
      </c>
      <c r="C38" s="10" t="s">
        <v>8</v>
      </c>
      <c r="D38" s="13">
        <v>26311</v>
      </c>
      <c r="E38" s="13">
        <v>28626</v>
      </c>
      <c r="F38" s="13">
        <v>27974</v>
      </c>
      <c r="G38" s="13">
        <v>35980</v>
      </c>
      <c r="H38" s="13">
        <v>37586</v>
      </c>
      <c r="I38" s="13">
        <v>35423</v>
      </c>
      <c r="J38" s="13">
        <v>35054</v>
      </c>
      <c r="K38" s="13">
        <v>32439</v>
      </c>
      <c r="L38" s="13">
        <v>34862</v>
      </c>
      <c r="M38" s="13">
        <v>31396</v>
      </c>
      <c r="N38" s="13">
        <v>26279</v>
      </c>
      <c r="O38" s="13">
        <v>28384</v>
      </c>
      <c r="P38" s="21">
        <f t="shared" si="1"/>
        <v>380314</v>
      </c>
      <c r="Q38" s="27">
        <f>P38/410400-1</f>
        <v>-7.330896686159849E-2</v>
      </c>
    </row>
    <row r="39" spans="1:17" x14ac:dyDescent="0.2">
      <c r="A39" s="20" t="s">
        <v>49</v>
      </c>
      <c r="B39" s="6" t="s">
        <v>50</v>
      </c>
      <c r="C39" s="5" t="s">
        <v>11</v>
      </c>
      <c r="D39" s="8">
        <v>14643</v>
      </c>
      <c r="E39" s="8">
        <v>17426</v>
      </c>
      <c r="F39" s="8">
        <v>17077</v>
      </c>
      <c r="G39" s="8">
        <v>18743</v>
      </c>
      <c r="H39" s="8">
        <v>20906</v>
      </c>
      <c r="I39" s="8">
        <v>22576</v>
      </c>
      <c r="J39" s="8">
        <v>19662</v>
      </c>
      <c r="K39" s="8">
        <v>21378</v>
      </c>
      <c r="L39" s="8">
        <v>19924</v>
      </c>
      <c r="M39" s="8">
        <v>18784</v>
      </c>
      <c r="N39" s="8">
        <v>16484</v>
      </c>
      <c r="O39" s="8">
        <v>17830</v>
      </c>
      <c r="P39" s="21">
        <f t="shared" si="1"/>
        <v>225433</v>
      </c>
      <c r="Q39" s="27">
        <f>P39/237600-1</f>
        <v>-5.1207912457912452E-2</v>
      </c>
    </row>
    <row r="40" spans="1:17" x14ac:dyDescent="0.2">
      <c r="A40" s="22" t="s">
        <v>49</v>
      </c>
      <c r="B40" s="11" t="s">
        <v>50</v>
      </c>
      <c r="C40" s="10" t="s">
        <v>13</v>
      </c>
      <c r="D40" s="13">
        <v>10444</v>
      </c>
      <c r="E40" s="13">
        <v>10518</v>
      </c>
      <c r="F40" s="13">
        <v>11216</v>
      </c>
      <c r="G40" s="13">
        <v>12862</v>
      </c>
      <c r="H40" s="13">
        <v>14593</v>
      </c>
      <c r="I40" s="13">
        <v>13712</v>
      </c>
      <c r="J40" s="13">
        <v>13401</v>
      </c>
      <c r="K40" s="13">
        <v>13484</v>
      </c>
      <c r="L40" s="13">
        <v>12298</v>
      </c>
      <c r="M40" s="13">
        <v>10661</v>
      </c>
      <c r="N40" s="13">
        <v>9914</v>
      </c>
      <c r="O40" s="13">
        <v>10817</v>
      </c>
      <c r="P40" s="21">
        <f t="shared" si="1"/>
        <v>143920</v>
      </c>
      <c r="Q40" s="28">
        <f>P40/151200-1</f>
        <v>-4.8148148148148162E-2</v>
      </c>
    </row>
    <row r="41" spans="1:17" x14ac:dyDescent="0.2">
      <c r="A41" s="20" t="s">
        <v>49</v>
      </c>
      <c r="B41" s="6" t="s">
        <v>50</v>
      </c>
      <c r="C41" s="5" t="s">
        <v>16</v>
      </c>
      <c r="D41" s="8">
        <v>6587</v>
      </c>
      <c r="E41" s="8">
        <v>6665</v>
      </c>
      <c r="F41" s="8">
        <v>7107</v>
      </c>
      <c r="G41" s="8">
        <v>7964</v>
      </c>
      <c r="H41" s="8">
        <v>8308</v>
      </c>
      <c r="I41" s="8">
        <v>8448</v>
      </c>
      <c r="J41" s="8">
        <v>7804</v>
      </c>
      <c r="K41" s="8">
        <v>8102</v>
      </c>
      <c r="L41" s="8">
        <v>7989</v>
      </c>
      <c r="M41" s="8">
        <v>6716</v>
      </c>
      <c r="N41" s="8">
        <v>6356</v>
      </c>
      <c r="O41" s="8">
        <v>7015</v>
      </c>
      <c r="P41" s="21">
        <f t="shared" si="1"/>
        <v>89061</v>
      </c>
      <c r="Q41" s="27">
        <f>P41/97200-1</f>
        <v>-8.3734567901234569E-2</v>
      </c>
    </row>
    <row r="42" spans="1:17" x14ac:dyDescent="0.2">
      <c r="A42" s="22" t="s">
        <v>49</v>
      </c>
      <c r="B42" s="11" t="s">
        <v>50</v>
      </c>
      <c r="C42" s="10" t="s">
        <v>18</v>
      </c>
      <c r="D42" s="13">
        <v>3626</v>
      </c>
      <c r="E42" s="13">
        <v>3433</v>
      </c>
      <c r="F42" s="13">
        <v>3813</v>
      </c>
      <c r="G42" s="13">
        <v>4621</v>
      </c>
      <c r="H42" s="13">
        <v>4883</v>
      </c>
      <c r="I42" s="13">
        <v>4632</v>
      </c>
      <c r="J42" s="13">
        <v>4443</v>
      </c>
      <c r="K42" s="13">
        <v>4935</v>
      </c>
      <c r="L42" s="13">
        <v>4469</v>
      </c>
      <c r="M42" s="13">
        <v>4084</v>
      </c>
      <c r="N42" s="13">
        <v>3901</v>
      </c>
      <c r="O42" s="13">
        <v>3941</v>
      </c>
      <c r="P42" s="21">
        <f t="shared" si="1"/>
        <v>50781</v>
      </c>
      <c r="Q42" s="27">
        <f>P42/54000-1</f>
        <v>-5.9611111111111059E-2</v>
      </c>
    </row>
    <row r="43" spans="1:17" x14ac:dyDescent="0.2">
      <c r="A43" s="20" t="s">
        <v>49</v>
      </c>
      <c r="B43" s="6" t="s">
        <v>50</v>
      </c>
      <c r="C43" s="5" t="s">
        <v>21</v>
      </c>
      <c r="D43" s="8">
        <v>4820</v>
      </c>
      <c r="E43" s="8">
        <v>4758</v>
      </c>
      <c r="F43" s="8">
        <v>5289</v>
      </c>
      <c r="G43" s="8">
        <v>6687</v>
      </c>
      <c r="H43" s="8">
        <v>7322</v>
      </c>
      <c r="I43" s="8">
        <v>7298</v>
      </c>
      <c r="J43" s="8">
        <v>6218</v>
      </c>
      <c r="K43" s="8">
        <v>6746</v>
      </c>
      <c r="L43" s="8">
        <v>6220</v>
      </c>
      <c r="M43" s="8">
        <v>5636</v>
      </c>
      <c r="N43" s="8">
        <v>4935</v>
      </c>
      <c r="O43" s="8">
        <v>5054</v>
      </c>
      <c r="P43" s="21">
        <f t="shared" si="1"/>
        <v>70983</v>
      </c>
      <c r="Q43" s="27">
        <f>P43/75600-1</f>
        <v>-6.1071428571428554E-2</v>
      </c>
    </row>
    <row r="44" spans="1:17" x14ac:dyDescent="0.2">
      <c r="A44" s="22" t="s">
        <v>49</v>
      </c>
      <c r="B44" s="11" t="s">
        <v>50</v>
      </c>
      <c r="C44" s="10" t="s">
        <v>24</v>
      </c>
      <c r="D44" s="13">
        <v>3474</v>
      </c>
      <c r="E44" s="13">
        <v>3412</v>
      </c>
      <c r="F44" s="13">
        <v>3769</v>
      </c>
      <c r="G44" s="13">
        <v>4722</v>
      </c>
      <c r="H44" s="13">
        <v>4874</v>
      </c>
      <c r="I44" s="13">
        <v>4600</v>
      </c>
      <c r="J44" s="13">
        <v>4477</v>
      </c>
      <c r="K44" s="13">
        <v>4359</v>
      </c>
      <c r="L44" s="13">
        <v>4496</v>
      </c>
      <c r="M44" s="13">
        <v>3660</v>
      </c>
      <c r="N44" s="13">
        <v>3627</v>
      </c>
      <c r="O44" s="13">
        <v>3819</v>
      </c>
      <c r="P44" s="21">
        <f t="shared" si="1"/>
        <v>49289</v>
      </c>
      <c r="Q44" s="27">
        <f>P44/54000-1</f>
        <v>-8.724074074074073E-2</v>
      </c>
    </row>
    <row r="45" spans="1:17" x14ac:dyDescent="0.2">
      <c r="A45" s="20" t="s">
        <v>52</v>
      </c>
      <c r="B45" s="6" t="s">
        <v>53</v>
      </c>
      <c r="C45" s="5" t="s">
        <v>8</v>
      </c>
      <c r="D45" s="8">
        <v>19178</v>
      </c>
      <c r="E45" s="8">
        <v>22310</v>
      </c>
      <c r="F45" s="8">
        <v>21543</v>
      </c>
      <c r="G45" s="8">
        <v>26966</v>
      </c>
      <c r="H45" s="8">
        <v>27155</v>
      </c>
      <c r="I45" s="8">
        <v>28172</v>
      </c>
      <c r="J45" s="8">
        <v>25373</v>
      </c>
      <c r="K45" s="8">
        <v>26639</v>
      </c>
      <c r="L45" s="8">
        <v>27158</v>
      </c>
      <c r="M45" s="8">
        <v>22955</v>
      </c>
      <c r="N45" s="8">
        <v>22691</v>
      </c>
      <c r="O45" s="8">
        <v>23531</v>
      </c>
      <c r="P45" s="21">
        <f t="shared" si="1"/>
        <v>293671</v>
      </c>
      <c r="Q45" s="27">
        <f>P45/319200-1</f>
        <v>-7.9978070175438565E-2</v>
      </c>
    </row>
    <row r="46" spans="1:17" x14ac:dyDescent="0.2">
      <c r="A46" s="22" t="s">
        <v>52</v>
      </c>
      <c r="B46" s="11" t="s">
        <v>53</v>
      </c>
      <c r="C46" s="10" t="s">
        <v>11</v>
      </c>
      <c r="D46" s="13">
        <v>11536</v>
      </c>
      <c r="E46" s="13">
        <v>11783</v>
      </c>
      <c r="F46" s="13">
        <v>12226</v>
      </c>
      <c r="G46" s="13">
        <v>15807</v>
      </c>
      <c r="H46" s="13">
        <v>18295</v>
      </c>
      <c r="I46" s="13">
        <v>16233</v>
      </c>
      <c r="J46" s="13">
        <v>15770</v>
      </c>
      <c r="K46" s="13">
        <v>16576</v>
      </c>
      <c r="L46" s="13">
        <v>15458</v>
      </c>
      <c r="M46" s="13">
        <v>14103</v>
      </c>
      <c r="N46" s="13">
        <v>13536</v>
      </c>
      <c r="O46" s="13">
        <v>12314</v>
      </c>
      <c r="P46" s="21">
        <f t="shared" si="1"/>
        <v>173637</v>
      </c>
      <c r="Q46" s="27">
        <f>P46/184800-1</f>
        <v>-6.0405844155844157E-2</v>
      </c>
    </row>
    <row r="47" spans="1:17" x14ac:dyDescent="0.2">
      <c r="A47" s="20" t="s">
        <v>52</v>
      </c>
      <c r="B47" s="6" t="s">
        <v>53</v>
      </c>
      <c r="C47" s="5" t="s">
        <v>13</v>
      </c>
      <c r="D47" s="8">
        <v>7057</v>
      </c>
      <c r="E47" s="8">
        <v>7589</v>
      </c>
      <c r="F47" s="8">
        <v>7924</v>
      </c>
      <c r="G47" s="8">
        <v>10267</v>
      </c>
      <c r="H47" s="8">
        <v>10890</v>
      </c>
      <c r="I47" s="8">
        <v>10106</v>
      </c>
      <c r="J47" s="8">
        <v>10113</v>
      </c>
      <c r="K47" s="8">
        <v>10525</v>
      </c>
      <c r="L47" s="8">
        <v>9094</v>
      </c>
      <c r="M47" s="8">
        <v>8772</v>
      </c>
      <c r="N47" s="8">
        <v>8355</v>
      </c>
      <c r="O47" s="8">
        <v>7724</v>
      </c>
      <c r="P47" s="21">
        <f t="shared" si="1"/>
        <v>108416</v>
      </c>
      <c r="Q47" s="27">
        <f>P47/117600-1</f>
        <v>-7.8095238095238106E-2</v>
      </c>
    </row>
    <row r="48" spans="1:17" x14ac:dyDescent="0.2">
      <c r="A48" s="22" t="s">
        <v>52</v>
      </c>
      <c r="B48" s="11" t="s">
        <v>53</v>
      </c>
      <c r="C48" s="10" t="s">
        <v>16</v>
      </c>
      <c r="D48" s="13">
        <v>5165</v>
      </c>
      <c r="E48" s="13">
        <v>5550</v>
      </c>
      <c r="F48" s="13">
        <v>5078</v>
      </c>
      <c r="G48" s="13">
        <v>5938</v>
      </c>
      <c r="H48" s="13">
        <v>6721</v>
      </c>
      <c r="I48" s="13">
        <v>6997</v>
      </c>
      <c r="J48" s="13">
        <v>6762</v>
      </c>
      <c r="K48" s="13">
        <v>6382</v>
      </c>
      <c r="L48" s="13">
        <v>6386</v>
      </c>
      <c r="M48" s="13">
        <v>5168</v>
      </c>
      <c r="N48" s="13">
        <v>5324</v>
      </c>
      <c r="O48" s="13">
        <v>5400</v>
      </c>
      <c r="P48" s="21">
        <f t="shared" si="1"/>
        <v>70871</v>
      </c>
      <c r="Q48" s="27">
        <f>P48/75600-1</f>
        <v>-6.2552910052910082E-2</v>
      </c>
    </row>
    <row r="49" spans="1:17" x14ac:dyDescent="0.2">
      <c r="A49" s="20" t="s">
        <v>52</v>
      </c>
      <c r="B49" s="6" t="s">
        <v>53</v>
      </c>
      <c r="C49" s="5" t="s">
        <v>18</v>
      </c>
      <c r="D49" s="8">
        <v>2556</v>
      </c>
      <c r="E49" s="8">
        <v>2995</v>
      </c>
      <c r="F49" s="8">
        <v>3179</v>
      </c>
      <c r="G49" s="8">
        <v>3627</v>
      </c>
      <c r="H49" s="8">
        <v>3617</v>
      </c>
      <c r="I49" s="8">
        <v>4073</v>
      </c>
      <c r="J49" s="8">
        <v>3658</v>
      </c>
      <c r="K49" s="8">
        <v>3517</v>
      </c>
      <c r="L49" s="8">
        <v>3391</v>
      </c>
      <c r="M49" s="8">
        <v>3016</v>
      </c>
      <c r="N49" s="8">
        <v>2873</v>
      </c>
      <c r="O49" s="8">
        <v>2865</v>
      </c>
      <c r="P49" s="21">
        <f t="shared" si="1"/>
        <v>39367</v>
      </c>
      <c r="Q49" s="27">
        <f>P49/42000-1</f>
        <v>-6.2690476190476185E-2</v>
      </c>
    </row>
    <row r="50" spans="1:17" x14ac:dyDescent="0.2">
      <c r="A50" s="22" t="s">
        <v>52</v>
      </c>
      <c r="B50" s="11" t="s">
        <v>53</v>
      </c>
      <c r="C50" s="10" t="s">
        <v>21</v>
      </c>
      <c r="D50" s="13">
        <v>4036</v>
      </c>
      <c r="E50" s="13">
        <v>4225</v>
      </c>
      <c r="F50" s="13">
        <v>3948</v>
      </c>
      <c r="G50" s="13">
        <v>5366</v>
      </c>
      <c r="H50" s="13">
        <v>5507</v>
      </c>
      <c r="I50" s="13">
        <v>5570</v>
      </c>
      <c r="J50" s="13">
        <v>5063</v>
      </c>
      <c r="K50" s="13">
        <v>4995</v>
      </c>
      <c r="L50" s="13">
        <v>4982</v>
      </c>
      <c r="M50" s="13">
        <v>4633</v>
      </c>
      <c r="N50" s="13">
        <v>3870</v>
      </c>
      <c r="O50" s="13">
        <v>4319</v>
      </c>
      <c r="P50" s="21">
        <f t="shared" si="1"/>
        <v>56514</v>
      </c>
      <c r="Q50" s="28">
        <f>P50/58800-1</f>
        <v>-3.887755102040813E-2</v>
      </c>
    </row>
    <row r="51" spans="1:17" x14ac:dyDescent="0.2">
      <c r="A51" s="20" t="s">
        <v>52</v>
      </c>
      <c r="B51" s="6" t="s">
        <v>53</v>
      </c>
      <c r="C51" s="5" t="s">
        <v>24</v>
      </c>
      <c r="D51" s="8">
        <v>2747</v>
      </c>
      <c r="E51" s="8">
        <v>2862</v>
      </c>
      <c r="F51" s="8">
        <v>2979</v>
      </c>
      <c r="G51" s="8">
        <v>3702</v>
      </c>
      <c r="H51" s="8">
        <v>3707</v>
      </c>
      <c r="I51" s="8">
        <v>3993</v>
      </c>
      <c r="J51" s="8">
        <v>3685</v>
      </c>
      <c r="K51" s="8">
        <v>3367</v>
      </c>
      <c r="L51" s="8">
        <v>3639</v>
      </c>
      <c r="M51" s="8">
        <v>2954</v>
      </c>
      <c r="N51" s="8">
        <v>2854</v>
      </c>
      <c r="O51" s="8">
        <v>2992</v>
      </c>
      <c r="P51" s="21">
        <f t="shared" si="1"/>
        <v>39481</v>
      </c>
      <c r="Q51" s="27">
        <f>P51/42000-1</f>
        <v>-5.9976190476190516E-2</v>
      </c>
    </row>
    <row r="52" spans="1:17" x14ac:dyDescent="0.2">
      <c r="A52" s="22" t="s">
        <v>55</v>
      </c>
      <c r="B52" s="11" t="s">
        <v>56</v>
      </c>
      <c r="C52" s="10" t="s">
        <v>8</v>
      </c>
      <c r="D52" s="13">
        <v>17440</v>
      </c>
      <c r="E52" s="13">
        <v>17286</v>
      </c>
      <c r="F52" s="13">
        <v>20709</v>
      </c>
      <c r="G52" s="13">
        <v>22072</v>
      </c>
      <c r="H52" s="13">
        <v>23925</v>
      </c>
      <c r="I52" s="13">
        <v>25797</v>
      </c>
      <c r="J52" s="13">
        <v>22218</v>
      </c>
      <c r="K52" s="13">
        <v>24913</v>
      </c>
      <c r="L52" s="13">
        <v>23063</v>
      </c>
      <c r="M52" s="13">
        <v>19346</v>
      </c>
      <c r="N52" s="13">
        <v>17231</v>
      </c>
      <c r="O52" s="13">
        <v>20525</v>
      </c>
      <c r="P52" s="21">
        <f t="shared" si="1"/>
        <v>254525</v>
      </c>
      <c r="Q52" s="27">
        <f>P52/273600-1</f>
        <v>-6.9718567251461971E-2</v>
      </c>
    </row>
    <row r="53" spans="1:17" x14ac:dyDescent="0.2">
      <c r="A53" s="20" t="s">
        <v>55</v>
      </c>
      <c r="B53" s="6" t="s">
        <v>56</v>
      </c>
      <c r="C53" s="5" t="s">
        <v>11</v>
      </c>
      <c r="D53" s="8">
        <v>9613</v>
      </c>
      <c r="E53" s="8">
        <v>11205</v>
      </c>
      <c r="F53" s="8">
        <v>11331</v>
      </c>
      <c r="G53" s="8">
        <v>14020</v>
      </c>
      <c r="H53" s="8">
        <v>14963</v>
      </c>
      <c r="I53" s="8">
        <v>14589</v>
      </c>
      <c r="J53" s="8">
        <v>13181</v>
      </c>
      <c r="K53" s="8">
        <v>14233</v>
      </c>
      <c r="L53" s="8">
        <v>12094</v>
      </c>
      <c r="M53" s="8">
        <v>11099</v>
      </c>
      <c r="N53" s="8">
        <v>11156</v>
      </c>
      <c r="O53" s="8">
        <v>10744</v>
      </c>
      <c r="P53" s="21">
        <f t="shared" si="1"/>
        <v>148228</v>
      </c>
      <c r="Q53" s="27">
        <f>P53/158400-1</f>
        <v>-6.4217171717171673E-2</v>
      </c>
    </row>
    <row r="54" spans="1:17" x14ac:dyDescent="0.2">
      <c r="A54" s="22" t="s">
        <v>55</v>
      </c>
      <c r="B54" s="11" t="s">
        <v>56</v>
      </c>
      <c r="C54" s="10" t="s">
        <v>13</v>
      </c>
      <c r="D54" s="13">
        <v>6637</v>
      </c>
      <c r="E54" s="13">
        <v>6859</v>
      </c>
      <c r="F54" s="13">
        <v>7260</v>
      </c>
      <c r="G54" s="13">
        <v>8466</v>
      </c>
      <c r="H54" s="13">
        <v>9604</v>
      </c>
      <c r="I54" s="13">
        <v>8826</v>
      </c>
      <c r="J54" s="13">
        <v>8673</v>
      </c>
      <c r="K54" s="13">
        <v>8335</v>
      </c>
      <c r="L54" s="13">
        <v>7905</v>
      </c>
      <c r="M54" s="13">
        <v>6943</v>
      </c>
      <c r="N54" s="13">
        <v>6549</v>
      </c>
      <c r="O54" s="13">
        <v>6626</v>
      </c>
      <c r="P54" s="21">
        <f t="shared" si="1"/>
        <v>92683</v>
      </c>
      <c r="Q54" s="27">
        <f>P54/100800-1</f>
        <v>-8.0525793650793598E-2</v>
      </c>
    </row>
    <row r="55" spans="1:17" x14ac:dyDescent="0.2">
      <c r="A55" s="20" t="s">
        <v>55</v>
      </c>
      <c r="B55" s="6" t="s">
        <v>56</v>
      </c>
      <c r="C55" s="5" t="s">
        <v>16</v>
      </c>
      <c r="D55" s="8">
        <v>4236</v>
      </c>
      <c r="E55" s="8">
        <v>4614</v>
      </c>
      <c r="F55" s="8">
        <v>4410</v>
      </c>
      <c r="G55" s="8">
        <v>5258</v>
      </c>
      <c r="H55" s="8">
        <v>5925</v>
      </c>
      <c r="I55" s="8">
        <v>6042</v>
      </c>
      <c r="J55" s="8">
        <v>5812</v>
      </c>
      <c r="K55" s="8">
        <v>5584</v>
      </c>
      <c r="L55" s="8">
        <v>5108</v>
      </c>
      <c r="M55" s="8">
        <v>4448</v>
      </c>
      <c r="N55" s="8">
        <v>4211</v>
      </c>
      <c r="O55" s="8">
        <v>4338</v>
      </c>
      <c r="P55" s="21">
        <f t="shared" si="1"/>
        <v>59986</v>
      </c>
      <c r="Q55" s="27">
        <f>P55/64800-1</f>
        <v>-7.4290123456790091E-2</v>
      </c>
    </row>
    <row r="56" spans="1:17" x14ac:dyDescent="0.2">
      <c r="A56" s="22" t="s">
        <v>55</v>
      </c>
      <c r="B56" s="11" t="s">
        <v>56</v>
      </c>
      <c r="C56" s="10" t="s">
        <v>18</v>
      </c>
      <c r="D56" s="13">
        <v>2220</v>
      </c>
      <c r="E56" s="13">
        <v>2269</v>
      </c>
      <c r="F56" s="13">
        <v>2594</v>
      </c>
      <c r="G56" s="13">
        <v>2950</v>
      </c>
      <c r="H56" s="13">
        <v>3550</v>
      </c>
      <c r="I56" s="13">
        <v>3268</v>
      </c>
      <c r="J56" s="13">
        <v>3095</v>
      </c>
      <c r="K56" s="13">
        <v>2905</v>
      </c>
      <c r="L56" s="13">
        <v>3113</v>
      </c>
      <c r="M56" s="13">
        <v>2636</v>
      </c>
      <c r="N56" s="13">
        <v>2607</v>
      </c>
      <c r="O56" s="13">
        <v>2550</v>
      </c>
      <c r="P56" s="21">
        <f t="shared" si="1"/>
        <v>33757</v>
      </c>
      <c r="Q56" s="27">
        <f>P56/36000-1</f>
        <v>-6.2305555555555503E-2</v>
      </c>
    </row>
    <row r="57" spans="1:17" x14ac:dyDescent="0.2">
      <c r="A57" s="20" t="s">
        <v>55</v>
      </c>
      <c r="B57" s="6" t="s">
        <v>56</v>
      </c>
      <c r="C57" s="5" t="s">
        <v>21</v>
      </c>
      <c r="D57" s="8">
        <v>3260</v>
      </c>
      <c r="E57" s="8">
        <v>3411</v>
      </c>
      <c r="F57" s="8">
        <v>3430</v>
      </c>
      <c r="G57" s="8">
        <v>3976</v>
      </c>
      <c r="H57" s="8">
        <v>4946</v>
      </c>
      <c r="I57" s="8">
        <v>4520</v>
      </c>
      <c r="J57" s="8">
        <v>4416</v>
      </c>
      <c r="K57" s="8">
        <v>4257</v>
      </c>
      <c r="L57" s="8">
        <v>3836</v>
      </c>
      <c r="M57" s="8">
        <v>3773</v>
      </c>
      <c r="N57" s="8">
        <v>3198</v>
      </c>
      <c r="O57" s="8">
        <v>3330</v>
      </c>
      <c r="P57" s="21">
        <f t="shared" si="1"/>
        <v>46353</v>
      </c>
      <c r="Q57" s="27">
        <f>P57/50400-1</f>
        <v>-8.0297619047619007E-2</v>
      </c>
    </row>
    <row r="58" spans="1:17" x14ac:dyDescent="0.2">
      <c r="A58" s="22" t="s">
        <v>55</v>
      </c>
      <c r="B58" s="11" t="s">
        <v>56</v>
      </c>
      <c r="C58" s="10" t="s">
        <v>24</v>
      </c>
      <c r="D58" s="13">
        <v>2364</v>
      </c>
      <c r="E58" s="13">
        <v>2383</v>
      </c>
      <c r="F58" s="13">
        <v>2784</v>
      </c>
      <c r="G58" s="13">
        <v>2873</v>
      </c>
      <c r="H58" s="13">
        <v>3440</v>
      </c>
      <c r="I58" s="13">
        <v>3295</v>
      </c>
      <c r="J58" s="13">
        <v>3140</v>
      </c>
      <c r="K58" s="13">
        <v>2954</v>
      </c>
      <c r="L58" s="13">
        <v>2951</v>
      </c>
      <c r="M58" s="13">
        <v>2619</v>
      </c>
      <c r="N58" s="13">
        <v>2437</v>
      </c>
      <c r="O58" s="13">
        <v>2665</v>
      </c>
      <c r="P58" s="21">
        <f t="shared" si="1"/>
        <v>33905</v>
      </c>
      <c r="Q58" s="27">
        <f>P58/36000-1</f>
        <v>-5.8194444444444438E-2</v>
      </c>
    </row>
    <row r="59" spans="1:17" x14ac:dyDescent="0.2">
      <c r="A59" s="20" t="s">
        <v>57</v>
      </c>
      <c r="B59" s="6" t="s">
        <v>58</v>
      </c>
      <c r="C59" s="5" t="s">
        <v>8</v>
      </c>
      <c r="D59" s="8">
        <v>12786</v>
      </c>
      <c r="E59" s="8">
        <v>12076</v>
      </c>
      <c r="F59" s="8">
        <v>13325</v>
      </c>
      <c r="G59" s="8">
        <v>15776</v>
      </c>
      <c r="H59" s="8">
        <v>17362</v>
      </c>
      <c r="I59" s="8">
        <v>17592</v>
      </c>
      <c r="J59" s="8">
        <v>14489</v>
      </c>
      <c r="K59" s="8">
        <v>14932</v>
      </c>
      <c r="L59" s="8">
        <v>15278</v>
      </c>
      <c r="M59" s="8">
        <v>12642</v>
      </c>
      <c r="N59" s="8">
        <v>11814</v>
      </c>
      <c r="O59" s="8">
        <v>11900</v>
      </c>
      <c r="P59" s="21">
        <f t="shared" si="1"/>
        <v>169972</v>
      </c>
      <c r="Q59" s="27">
        <f>P59/182400-1</f>
        <v>-6.8135964912280689E-2</v>
      </c>
    </row>
    <row r="60" spans="1:17" x14ac:dyDescent="0.2">
      <c r="A60" s="22" t="s">
        <v>57</v>
      </c>
      <c r="B60" s="11" t="s">
        <v>58</v>
      </c>
      <c r="C60" s="10" t="s">
        <v>11</v>
      </c>
      <c r="D60" s="13">
        <v>6318</v>
      </c>
      <c r="E60" s="13">
        <v>7159</v>
      </c>
      <c r="F60" s="13">
        <v>7682</v>
      </c>
      <c r="G60" s="13">
        <v>8676</v>
      </c>
      <c r="H60" s="13">
        <v>9264</v>
      </c>
      <c r="I60" s="13">
        <v>9819</v>
      </c>
      <c r="J60" s="13">
        <v>9086</v>
      </c>
      <c r="K60" s="13">
        <v>8997</v>
      </c>
      <c r="L60" s="13">
        <v>8883</v>
      </c>
      <c r="M60" s="13">
        <v>8269</v>
      </c>
      <c r="N60" s="13">
        <v>7548</v>
      </c>
      <c r="O60" s="13">
        <v>7540</v>
      </c>
      <c r="P60" s="21">
        <f t="shared" si="1"/>
        <v>99241</v>
      </c>
      <c r="Q60" s="27">
        <f>P60/105600-1</f>
        <v>-6.0217803030302997E-2</v>
      </c>
    </row>
    <row r="61" spans="1:17" x14ac:dyDescent="0.2">
      <c r="A61" s="20" t="s">
        <v>57</v>
      </c>
      <c r="B61" s="6" t="s">
        <v>58</v>
      </c>
      <c r="C61" s="5" t="s">
        <v>13</v>
      </c>
      <c r="D61" s="8">
        <v>4481</v>
      </c>
      <c r="E61" s="8">
        <v>4911</v>
      </c>
      <c r="F61" s="8">
        <v>4758</v>
      </c>
      <c r="G61" s="8">
        <v>5753</v>
      </c>
      <c r="H61" s="8">
        <v>6306</v>
      </c>
      <c r="I61" s="8">
        <v>6443</v>
      </c>
      <c r="J61" s="8">
        <v>5893</v>
      </c>
      <c r="K61" s="8">
        <v>5372</v>
      </c>
      <c r="L61" s="8">
        <v>5195</v>
      </c>
      <c r="M61" s="8">
        <v>4776</v>
      </c>
      <c r="N61" s="8">
        <v>4775</v>
      </c>
      <c r="O61" s="8">
        <v>4756</v>
      </c>
      <c r="P61" s="21">
        <f t="shared" si="1"/>
        <v>63419</v>
      </c>
      <c r="Q61" s="27">
        <f>P61/67200-1</f>
        <v>-5.6264880952380913E-2</v>
      </c>
    </row>
    <row r="62" spans="1:17" x14ac:dyDescent="0.2">
      <c r="A62" s="22" t="s">
        <v>57</v>
      </c>
      <c r="B62" s="11" t="s">
        <v>58</v>
      </c>
      <c r="C62" s="10" t="s">
        <v>16</v>
      </c>
      <c r="D62" s="13">
        <v>2713</v>
      </c>
      <c r="E62" s="13">
        <v>2775</v>
      </c>
      <c r="F62" s="13">
        <v>3189</v>
      </c>
      <c r="G62" s="13">
        <v>3789</v>
      </c>
      <c r="H62" s="13">
        <v>4240</v>
      </c>
      <c r="I62" s="13">
        <v>3888</v>
      </c>
      <c r="J62" s="13">
        <v>3596</v>
      </c>
      <c r="K62" s="13">
        <v>3459</v>
      </c>
      <c r="L62" s="13">
        <v>3268</v>
      </c>
      <c r="M62" s="13">
        <v>3134</v>
      </c>
      <c r="N62" s="13">
        <v>2868</v>
      </c>
      <c r="O62" s="13">
        <v>2903</v>
      </c>
      <c r="P62" s="21">
        <f t="shared" si="1"/>
        <v>39822</v>
      </c>
      <c r="Q62" s="27">
        <f>P62/43200-1</f>
        <v>-7.8194444444444455E-2</v>
      </c>
    </row>
    <row r="63" spans="1:17" x14ac:dyDescent="0.2">
      <c r="A63" s="20" t="s">
        <v>57</v>
      </c>
      <c r="B63" s="6" t="s">
        <v>58</v>
      </c>
      <c r="C63" s="5" t="s">
        <v>18</v>
      </c>
      <c r="D63" s="8">
        <v>1458</v>
      </c>
      <c r="E63" s="8">
        <v>1761</v>
      </c>
      <c r="F63" s="8">
        <v>1812</v>
      </c>
      <c r="G63" s="8">
        <v>2065</v>
      </c>
      <c r="H63" s="8">
        <v>2359</v>
      </c>
      <c r="I63" s="8">
        <v>2333</v>
      </c>
      <c r="J63" s="8">
        <v>2055</v>
      </c>
      <c r="K63" s="8">
        <v>1984</v>
      </c>
      <c r="L63" s="8">
        <v>1816</v>
      </c>
      <c r="M63" s="8">
        <v>1832</v>
      </c>
      <c r="N63" s="8">
        <v>1632</v>
      </c>
      <c r="O63" s="8">
        <v>1721</v>
      </c>
      <c r="P63" s="21">
        <f t="shared" si="1"/>
        <v>22828</v>
      </c>
      <c r="Q63" s="28">
        <f>P63/24000-1</f>
        <v>-4.8833333333333284E-2</v>
      </c>
    </row>
    <row r="64" spans="1:17" x14ac:dyDescent="0.2">
      <c r="A64" s="22" t="s">
        <v>57</v>
      </c>
      <c r="B64" s="11" t="s">
        <v>58</v>
      </c>
      <c r="C64" s="10" t="s">
        <v>21</v>
      </c>
      <c r="D64" s="13">
        <v>2329</v>
      </c>
      <c r="E64" s="13">
        <v>2179</v>
      </c>
      <c r="F64" s="13">
        <v>2441</v>
      </c>
      <c r="G64" s="13">
        <v>2918</v>
      </c>
      <c r="H64" s="13">
        <v>3076</v>
      </c>
      <c r="I64" s="13">
        <v>2826</v>
      </c>
      <c r="J64" s="13">
        <v>2732</v>
      </c>
      <c r="K64" s="13">
        <v>2807</v>
      </c>
      <c r="L64" s="13">
        <v>2819</v>
      </c>
      <c r="M64" s="13">
        <v>2605</v>
      </c>
      <c r="N64" s="13">
        <v>2233</v>
      </c>
      <c r="O64" s="13">
        <v>2425</v>
      </c>
      <c r="P64" s="21">
        <f t="shared" si="1"/>
        <v>31390</v>
      </c>
      <c r="Q64" s="27">
        <f>P64/33600-1</f>
        <v>-6.5773809523809512E-2</v>
      </c>
    </row>
    <row r="65" spans="1:17" x14ac:dyDescent="0.2">
      <c r="A65" s="20" t="s">
        <v>57</v>
      </c>
      <c r="B65" s="6" t="s">
        <v>58</v>
      </c>
      <c r="C65" s="5" t="s">
        <v>24</v>
      </c>
      <c r="D65" s="8">
        <v>1507</v>
      </c>
      <c r="E65" s="8">
        <v>1757</v>
      </c>
      <c r="F65" s="8">
        <v>1806</v>
      </c>
      <c r="G65" s="8">
        <v>2056</v>
      </c>
      <c r="H65" s="8">
        <v>2184</v>
      </c>
      <c r="I65" s="8">
        <v>2096</v>
      </c>
      <c r="J65" s="8">
        <v>1943</v>
      </c>
      <c r="K65" s="8">
        <v>2215</v>
      </c>
      <c r="L65" s="8">
        <v>1930</v>
      </c>
      <c r="M65" s="8">
        <v>1764</v>
      </c>
      <c r="N65" s="8">
        <v>1768</v>
      </c>
      <c r="O65" s="8">
        <v>1722</v>
      </c>
      <c r="P65" s="21">
        <f t="shared" si="1"/>
        <v>22748</v>
      </c>
      <c r="Q65" s="27">
        <f>P65/24000-1</f>
        <v>-5.2166666666666694E-2</v>
      </c>
    </row>
    <row r="66" spans="1:17" x14ac:dyDescent="0.2">
      <c r="A66" s="22" t="s">
        <v>60</v>
      </c>
      <c r="B66" s="11" t="s">
        <v>61</v>
      </c>
      <c r="C66" s="10" t="s">
        <v>8</v>
      </c>
      <c r="D66" s="13">
        <v>8953</v>
      </c>
      <c r="E66" s="13">
        <v>9218</v>
      </c>
      <c r="F66" s="13">
        <v>9314</v>
      </c>
      <c r="G66" s="13">
        <v>11371</v>
      </c>
      <c r="H66" s="13">
        <v>13055</v>
      </c>
      <c r="I66" s="13">
        <v>12559</v>
      </c>
      <c r="J66" s="13">
        <v>11874</v>
      </c>
      <c r="K66" s="13">
        <v>11185</v>
      </c>
      <c r="L66" s="13">
        <v>11260</v>
      </c>
      <c r="M66" s="13">
        <v>10718</v>
      </c>
      <c r="N66" s="13">
        <v>9255</v>
      </c>
      <c r="O66" s="13">
        <v>9880</v>
      </c>
      <c r="P66" s="21">
        <f t="shared" si="1"/>
        <v>128642</v>
      </c>
      <c r="Q66" s="27">
        <f>P66/136800-1</f>
        <v>-5.9634502923976651E-2</v>
      </c>
    </row>
    <row r="67" spans="1:17" x14ac:dyDescent="0.2">
      <c r="A67" s="20" t="s">
        <v>60</v>
      </c>
      <c r="B67" s="6" t="s">
        <v>61</v>
      </c>
      <c r="C67" s="5" t="s">
        <v>11</v>
      </c>
      <c r="D67" s="8">
        <v>4836</v>
      </c>
      <c r="E67" s="8">
        <v>5822</v>
      </c>
      <c r="F67" s="8">
        <v>5775</v>
      </c>
      <c r="G67" s="8">
        <v>6451</v>
      </c>
      <c r="H67" s="8">
        <v>6863</v>
      </c>
      <c r="I67" s="8">
        <v>7186</v>
      </c>
      <c r="J67" s="8">
        <v>6655</v>
      </c>
      <c r="K67" s="8">
        <v>6356</v>
      </c>
      <c r="L67" s="8">
        <v>6977</v>
      </c>
      <c r="M67" s="8">
        <v>6192</v>
      </c>
      <c r="N67" s="8">
        <v>5379</v>
      </c>
      <c r="O67" s="8">
        <v>5205</v>
      </c>
      <c r="P67" s="21">
        <f t="shared" ref="P67:P98" si="2">SUM(D67:O67)</f>
        <v>73697</v>
      </c>
      <c r="Q67" s="27">
        <f>P67/79200-1</f>
        <v>-6.9482323232323284E-2</v>
      </c>
    </row>
    <row r="68" spans="1:17" x14ac:dyDescent="0.2">
      <c r="A68" s="22" t="s">
        <v>60</v>
      </c>
      <c r="B68" s="11" t="s">
        <v>61</v>
      </c>
      <c r="C68" s="10" t="s">
        <v>13</v>
      </c>
      <c r="D68" s="13">
        <v>3450</v>
      </c>
      <c r="E68" s="13">
        <v>3443</v>
      </c>
      <c r="F68" s="13">
        <v>3737</v>
      </c>
      <c r="G68" s="13">
        <v>4290</v>
      </c>
      <c r="H68" s="13">
        <v>4453</v>
      </c>
      <c r="I68" s="13">
        <v>4779</v>
      </c>
      <c r="J68" s="13">
        <v>4523</v>
      </c>
      <c r="K68" s="13">
        <v>4149</v>
      </c>
      <c r="L68" s="13">
        <v>4150</v>
      </c>
      <c r="M68" s="13">
        <v>3627</v>
      </c>
      <c r="N68" s="13">
        <v>3676</v>
      </c>
      <c r="O68" s="13">
        <v>3533</v>
      </c>
      <c r="P68" s="21">
        <f t="shared" si="2"/>
        <v>47810</v>
      </c>
      <c r="Q68" s="27">
        <f>P68/50400-1</f>
        <v>-5.1388888888888928E-2</v>
      </c>
    </row>
    <row r="69" spans="1:17" x14ac:dyDescent="0.2">
      <c r="A69" s="20" t="s">
        <v>60</v>
      </c>
      <c r="B69" s="6" t="s">
        <v>61</v>
      </c>
      <c r="C69" s="5" t="s">
        <v>16</v>
      </c>
      <c r="D69" s="8">
        <v>2234</v>
      </c>
      <c r="E69" s="8">
        <v>2343</v>
      </c>
      <c r="F69" s="8">
        <v>2239</v>
      </c>
      <c r="G69" s="8">
        <v>2882</v>
      </c>
      <c r="H69" s="8">
        <v>2930</v>
      </c>
      <c r="I69" s="8">
        <v>3119</v>
      </c>
      <c r="J69" s="8">
        <v>2703</v>
      </c>
      <c r="K69" s="8">
        <v>2924</v>
      </c>
      <c r="L69" s="8">
        <v>2554</v>
      </c>
      <c r="M69" s="8">
        <v>2299</v>
      </c>
      <c r="N69" s="8">
        <v>2245</v>
      </c>
      <c r="O69" s="8">
        <v>2449</v>
      </c>
      <c r="P69" s="21">
        <f t="shared" si="2"/>
        <v>30921</v>
      </c>
      <c r="Q69" s="28">
        <f>P69/32400-1</f>
        <v>-4.5648148148148104E-2</v>
      </c>
    </row>
    <row r="70" spans="1:17" x14ac:dyDescent="0.2">
      <c r="A70" s="22" t="s">
        <v>60</v>
      </c>
      <c r="B70" s="11" t="s">
        <v>61</v>
      </c>
      <c r="C70" s="10" t="s">
        <v>18</v>
      </c>
      <c r="D70" s="13">
        <v>1168</v>
      </c>
      <c r="E70" s="13">
        <v>1161</v>
      </c>
      <c r="F70" s="13">
        <v>1298</v>
      </c>
      <c r="G70" s="13">
        <v>1492</v>
      </c>
      <c r="H70" s="13">
        <v>1664</v>
      </c>
      <c r="I70" s="13">
        <v>1631</v>
      </c>
      <c r="J70" s="13">
        <v>1489</v>
      </c>
      <c r="K70" s="13">
        <v>1501</v>
      </c>
      <c r="L70" s="13">
        <v>1397</v>
      </c>
      <c r="M70" s="13">
        <v>1362</v>
      </c>
      <c r="N70" s="13">
        <v>1244</v>
      </c>
      <c r="O70" s="13">
        <v>1206</v>
      </c>
      <c r="P70" s="21">
        <f t="shared" si="2"/>
        <v>16613</v>
      </c>
      <c r="Q70" s="27">
        <f>P70/18000-1</f>
        <v>-7.7055555555555544E-2</v>
      </c>
    </row>
    <row r="71" spans="1:17" x14ac:dyDescent="0.2">
      <c r="A71" s="20" t="s">
        <v>60</v>
      </c>
      <c r="B71" s="6" t="s">
        <v>61</v>
      </c>
      <c r="C71" s="5" t="s">
        <v>21</v>
      </c>
      <c r="D71" s="8">
        <v>1710</v>
      </c>
      <c r="E71" s="8">
        <v>1596</v>
      </c>
      <c r="F71" s="8">
        <v>1877</v>
      </c>
      <c r="G71" s="8">
        <v>2212</v>
      </c>
      <c r="H71" s="8">
        <v>2425</v>
      </c>
      <c r="I71" s="8">
        <v>2227</v>
      </c>
      <c r="J71" s="8">
        <v>2155</v>
      </c>
      <c r="K71" s="8">
        <v>2274</v>
      </c>
      <c r="L71" s="8">
        <v>2216</v>
      </c>
      <c r="M71" s="8">
        <v>1847</v>
      </c>
      <c r="N71" s="8">
        <v>1594</v>
      </c>
      <c r="O71" s="8">
        <v>1765</v>
      </c>
      <c r="P71" s="21">
        <f t="shared" si="2"/>
        <v>23898</v>
      </c>
      <c r="Q71" s="27">
        <f>P71/25200-1</f>
        <v>-5.1666666666666639E-2</v>
      </c>
    </row>
    <row r="72" spans="1:17" x14ac:dyDescent="0.2">
      <c r="A72" s="22" t="s">
        <v>60</v>
      </c>
      <c r="B72" s="11" t="s">
        <v>61</v>
      </c>
      <c r="C72" s="10" t="s">
        <v>24</v>
      </c>
      <c r="D72" s="13">
        <v>1187</v>
      </c>
      <c r="E72" s="13">
        <v>1303</v>
      </c>
      <c r="F72" s="13">
        <v>1367</v>
      </c>
      <c r="G72" s="13">
        <v>1515</v>
      </c>
      <c r="H72" s="13">
        <v>1657</v>
      </c>
      <c r="I72" s="13">
        <v>1609</v>
      </c>
      <c r="J72" s="13">
        <v>1553</v>
      </c>
      <c r="K72" s="13">
        <v>1523</v>
      </c>
      <c r="L72" s="13">
        <v>1506</v>
      </c>
      <c r="M72" s="13">
        <v>1247</v>
      </c>
      <c r="N72" s="13">
        <v>1224</v>
      </c>
      <c r="O72" s="13">
        <v>1355</v>
      </c>
      <c r="P72" s="21">
        <f t="shared" si="2"/>
        <v>17046</v>
      </c>
      <c r="Q72" s="27">
        <f>P72/18000-1</f>
        <v>-5.3000000000000047E-2</v>
      </c>
    </row>
    <row r="73" spans="1:17" ht="24" customHeight="1" x14ac:dyDescent="0.2"/>
  </sheetData>
  <mergeCells count="1">
    <mergeCell ref="A1:Q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"/>
  <sheetViews>
    <sheetView showGridLines="0" zoomScaleNormal="100" workbookViewId="0">
      <pane ySplit="2" topLeftCell="A3" activePane="bottomLeft" state="frozen"/>
      <selection pane="bottomLeft" sqref="A1:L1"/>
    </sheetView>
  </sheetViews>
  <sheetFormatPr baseColWidth="10" defaultColWidth="8.6640625" defaultRowHeight="15" x14ac:dyDescent="0.2"/>
  <cols>
    <col min="1" max="1" width="26" customWidth="1"/>
    <col min="2" max="8" width="14" customWidth="1"/>
    <col min="9" max="9" width="20" customWidth="1"/>
    <col min="10" max="10" width="14" customWidth="1"/>
    <col min="11" max="11" width="22" customWidth="1"/>
  </cols>
  <sheetData>
    <row r="1" spans="1:12" ht="31.5" customHeight="1" x14ac:dyDescent="0.2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 x14ac:dyDescent="0.2">
      <c r="A2" s="25" t="s">
        <v>29</v>
      </c>
      <c r="B2" s="25" t="s">
        <v>8</v>
      </c>
      <c r="C2" s="25" t="s">
        <v>11</v>
      </c>
      <c r="D2" s="25" t="s">
        <v>13</v>
      </c>
      <c r="E2" s="25" t="s">
        <v>16</v>
      </c>
      <c r="F2" s="25" t="s">
        <v>18</v>
      </c>
      <c r="G2" s="25" t="s">
        <v>21</v>
      </c>
      <c r="H2" s="25" t="s">
        <v>24</v>
      </c>
      <c r="I2" s="26" t="s">
        <v>83</v>
      </c>
      <c r="J2" s="26" t="s">
        <v>84</v>
      </c>
      <c r="K2" s="26" t="s">
        <v>85</v>
      </c>
    </row>
    <row r="3" spans="1:12" x14ac:dyDescent="0.2">
      <c r="A3" s="29" t="s">
        <v>35</v>
      </c>
      <c r="B3" s="8">
        <v>1003200</v>
      </c>
      <c r="C3" s="8">
        <v>580800</v>
      </c>
      <c r="D3" s="8">
        <v>369600</v>
      </c>
      <c r="E3" s="8">
        <v>237600</v>
      </c>
      <c r="F3" s="8">
        <v>132000</v>
      </c>
      <c r="G3" s="8">
        <v>184800</v>
      </c>
      <c r="H3" s="8">
        <v>132000</v>
      </c>
      <c r="I3" s="21">
        <f t="shared" ref="I3:I12" si="0">SUM(B3:H3)</f>
        <v>2640000</v>
      </c>
      <c r="J3" s="9">
        <f t="shared" ref="J3:J12" si="1">I3/12000000</f>
        <v>0.22</v>
      </c>
      <c r="K3" s="30">
        <v>770.72</v>
      </c>
    </row>
    <row r="4" spans="1:12" x14ac:dyDescent="0.2">
      <c r="A4" s="31" t="s">
        <v>39</v>
      </c>
      <c r="B4" s="13">
        <v>866400</v>
      </c>
      <c r="C4" s="13">
        <v>501600</v>
      </c>
      <c r="D4" s="13">
        <v>319200</v>
      </c>
      <c r="E4" s="13">
        <v>205200</v>
      </c>
      <c r="F4" s="13">
        <v>114000</v>
      </c>
      <c r="G4" s="13">
        <v>159600</v>
      </c>
      <c r="H4" s="13">
        <v>114000</v>
      </c>
      <c r="I4" s="21">
        <f t="shared" si="0"/>
        <v>2280000</v>
      </c>
      <c r="J4" s="14">
        <f t="shared" si="1"/>
        <v>0.19</v>
      </c>
      <c r="K4" s="32">
        <v>665.62</v>
      </c>
    </row>
    <row r="5" spans="1:12" x14ac:dyDescent="0.2">
      <c r="A5" s="29" t="s">
        <v>42</v>
      </c>
      <c r="B5" s="8">
        <v>547200</v>
      </c>
      <c r="C5" s="8">
        <v>316800</v>
      </c>
      <c r="D5" s="8">
        <v>201600</v>
      </c>
      <c r="E5" s="8">
        <v>129600</v>
      </c>
      <c r="F5" s="8">
        <v>72000</v>
      </c>
      <c r="G5" s="8">
        <v>100800</v>
      </c>
      <c r="H5" s="8">
        <v>72000</v>
      </c>
      <c r="I5" s="21">
        <f t="shared" si="0"/>
        <v>1440000</v>
      </c>
      <c r="J5" s="9">
        <f t="shared" si="1"/>
        <v>0.12</v>
      </c>
      <c r="K5" s="30">
        <v>420.39</v>
      </c>
    </row>
    <row r="6" spans="1:12" x14ac:dyDescent="0.2">
      <c r="A6" s="31" t="s">
        <v>45</v>
      </c>
      <c r="B6" s="13">
        <v>456000</v>
      </c>
      <c r="C6" s="13">
        <v>264000</v>
      </c>
      <c r="D6" s="13">
        <v>168000</v>
      </c>
      <c r="E6" s="13">
        <v>108000</v>
      </c>
      <c r="F6" s="13">
        <v>60000</v>
      </c>
      <c r="G6" s="13">
        <v>84000</v>
      </c>
      <c r="H6" s="13">
        <v>60000</v>
      </c>
      <c r="I6" s="21">
        <f t="shared" si="0"/>
        <v>1200000</v>
      </c>
      <c r="J6" s="14">
        <f t="shared" si="1"/>
        <v>0.1</v>
      </c>
      <c r="K6" s="32">
        <v>350.33</v>
      </c>
    </row>
    <row r="7" spans="1:12" x14ac:dyDescent="0.2">
      <c r="A7" s="29" t="s">
        <v>48</v>
      </c>
      <c r="B7" s="8">
        <v>364800</v>
      </c>
      <c r="C7" s="8">
        <v>211200</v>
      </c>
      <c r="D7" s="8">
        <v>134400</v>
      </c>
      <c r="E7" s="8">
        <v>86400</v>
      </c>
      <c r="F7" s="8">
        <v>48000</v>
      </c>
      <c r="G7" s="8">
        <v>67200</v>
      </c>
      <c r="H7" s="8">
        <v>48000</v>
      </c>
      <c r="I7" s="21">
        <f t="shared" si="0"/>
        <v>960000</v>
      </c>
      <c r="J7" s="9">
        <f t="shared" si="1"/>
        <v>0.08</v>
      </c>
      <c r="K7" s="30">
        <v>280.26</v>
      </c>
    </row>
    <row r="8" spans="1:12" x14ac:dyDescent="0.2">
      <c r="A8" s="31" t="s">
        <v>50</v>
      </c>
      <c r="B8" s="13">
        <v>410400</v>
      </c>
      <c r="C8" s="13">
        <v>237600</v>
      </c>
      <c r="D8" s="13">
        <v>151200</v>
      </c>
      <c r="E8" s="13">
        <v>97200</v>
      </c>
      <c r="F8" s="13">
        <v>54000</v>
      </c>
      <c r="G8" s="13">
        <v>75600</v>
      </c>
      <c r="H8" s="13">
        <v>54000</v>
      </c>
      <c r="I8" s="21">
        <f t="shared" si="0"/>
        <v>1080000</v>
      </c>
      <c r="J8" s="14">
        <f t="shared" si="1"/>
        <v>0.09</v>
      </c>
      <c r="K8" s="32">
        <v>315.3</v>
      </c>
    </row>
    <row r="9" spans="1:12" x14ac:dyDescent="0.2">
      <c r="A9" s="29" t="s">
        <v>53</v>
      </c>
      <c r="B9" s="8">
        <v>319200</v>
      </c>
      <c r="C9" s="8">
        <v>184800</v>
      </c>
      <c r="D9" s="8">
        <v>117600</v>
      </c>
      <c r="E9" s="8">
        <v>75600</v>
      </c>
      <c r="F9" s="8">
        <v>42000</v>
      </c>
      <c r="G9" s="8">
        <v>58800</v>
      </c>
      <c r="H9" s="8">
        <v>42000</v>
      </c>
      <c r="I9" s="21">
        <f t="shared" si="0"/>
        <v>840000</v>
      </c>
      <c r="J9" s="9">
        <f t="shared" si="1"/>
        <v>7.0000000000000007E-2</v>
      </c>
      <c r="K9" s="30">
        <v>245.23</v>
      </c>
    </row>
    <row r="10" spans="1:12" x14ac:dyDescent="0.2">
      <c r="A10" s="31" t="s">
        <v>56</v>
      </c>
      <c r="B10" s="13">
        <v>273600</v>
      </c>
      <c r="C10" s="13">
        <v>158400</v>
      </c>
      <c r="D10" s="13">
        <v>100800</v>
      </c>
      <c r="E10" s="13">
        <v>64800</v>
      </c>
      <c r="F10" s="13">
        <v>36000</v>
      </c>
      <c r="G10" s="13">
        <v>50400</v>
      </c>
      <c r="H10" s="13">
        <v>36000</v>
      </c>
      <c r="I10" s="21">
        <f t="shared" si="0"/>
        <v>720000</v>
      </c>
      <c r="J10" s="14">
        <f t="shared" si="1"/>
        <v>0.06</v>
      </c>
      <c r="K10" s="32">
        <v>210.2</v>
      </c>
    </row>
    <row r="11" spans="1:12" x14ac:dyDescent="0.2">
      <c r="A11" s="29" t="s">
        <v>58</v>
      </c>
      <c r="B11" s="8">
        <v>182400</v>
      </c>
      <c r="C11" s="8">
        <v>105600</v>
      </c>
      <c r="D11" s="8">
        <v>67200</v>
      </c>
      <c r="E11" s="8">
        <v>43200</v>
      </c>
      <c r="F11" s="8">
        <v>24000</v>
      </c>
      <c r="G11" s="8">
        <v>33600</v>
      </c>
      <c r="H11" s="8">
        <v>24000</v>
      </c>
      <c r="I11" s="21">
        <f t="shared" si="0"/>
        <v>480000</v>
      </c>
      <c r="J11" s="9">
        <f t="shared" si="1"/>
        <v>0.04</v>
      </c>
      <c r="K11" s="30">
        <v>140.13</v>
      </c>
    </row>
    <row r="12" spans="1:12" x14ac:dyDescent="0.2">
      <c r="A12" s="31" t="s">
        <v>61</v>
      </c>
      <c r="B12" s="13">
        <v>136800</v>
      </c>
      <c r="C12" s="13">
        <v>79200</v>
      </c>
      <c r="D12" s="13">
        <v>50400</v>
      </c>
      <c r="E12" s="13">
        <v>32400</v>
      </c>
      <c r="F12" s="13">
        <v>18000</v>
      </c>
      <c r="G12" s="13">
        <v>25200</v>
      </c>
      <c r="H12" s="13">
        <v>18000</v>
      </c>
      <c r="I12" s="21">
        <f t="shared" si="0"/>
        <v>360000</v>
      </c>
      <c r="J12" s="14">
        <f t="shared" si="1"/>
        <v>0.03</v>
      </c>
      <c r="K12" s="32">
        <v>105.1</v>
      </c>
    </row>
    <row r="13" spans="1:12" ht="24" customHeight="1" x14ac:dyDescent="0.2">
      <c r="A13" s="23" t="s">
        <v>65</v>
      </c>
      <c r="B13" s="16">
        <f t="shared" ref="B13:L13" si="2">SUM(B3:B12)</f>
        <v>4560000</v>
      </c>
      <c r="C13" s="16">
        <f t="shared" si="2"/>
        <v>2640000</v>
      </c>
      <c r="D13" s="16">
        <f t="shared" si="2"/>
        <v>1680000</v>
      </c>
      <c r="E13" s="16">
        <f t="shared" si="2"/>
        <v>1080000</v>
      </c>
      <c r="F13" s="16">
        <f t="shared" si="2"/>
        <v>600000</v>
      </c>
      <c r="G13" s="16">
        <f t="shared" si="2"/>
        <v>840000</v>
      </c>
      <c r="H13" s="16">
        <f t="shared" si="2"/>
        <v>600000</v>
      </c>
      <c r="I13" s="16">
        <f t="shared" si="2"/>
        <v>12000000</v>
      </c>
      <c r="J13" s="17">
        <f t="shared" si="2"/>
        <v>1</v>
      </c>
      <c r="K13" s="33">
        <f t="shared" si="2"/>
        <v>3503.2799999999997</v>
      </c>
      <c r="L13" s="33">
        <f t="shared" si="2"/>
        <v>0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"/>
  <sheetViews>
    <sheetView showGridLines="0"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O1"/>
    </sheetView>
  </sheetViews>
  <sheetFormatPr baseColWidth="10" defaultColWidth="8.6640625" defaultRowHeight="15" x14ac:dyDescent="0.2"/>
  <cols>
    <col min="1" max="1" width="14" customWidth="1"/>
    <col min="2" max="13" width="10" customWidth="1"/>
    <col min="14" max="15" width="14" customWidth="1"/>
  </cols>
  <sheetData>
    <row r="1" spans="1:15" ht="31.5" customHeight="1" x14ac:dyDescent="0.2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0" customHeight="1" x14ac:dyDescent="0.2">
      <c r="A2" s="25" t="s">
        <v>1</v>
      </c>
      <c r="B2" s="25" t="s">
        <v>68</v>
      </c>
      <c r="C2" s="25" t="s">
        <v>69</v>
      </c>
      <c r="D2" s="25" t="s">
        <v>70</v>
      </c>
      <c r="E2" s="25" t="s">
        <v>71</v>
      </c>
      <c r="F2" s="25" t="s">
        <v>72</v>
      </c>
      <c r="G2" s="25" t="s">
        <v>73</v>
      </c>
      <c r="H2" s="25" t="s">
        <v>74</v>
      </c>
      <c r="I2" s="25" t="s">
        <v>75</v>
      </c>
      <c r="J2" s="25" t="s">
        <v>76</v>
      </c>
      <c r="K2" s="25" t="s">
        <v>77</v>
      </c>
      <c r="L2" s="25" t="s">
        <v>78</v>
      </c>
      <c r="M2" s="25" t="s">
        <v>79</v>
      </c>
      <c r="N2" s="26" t="s">
        <v>87</v>
      </c>
      <c r="O2" s="26" t="s">
        <v>88</v>
      </c>
    </row>
    <row r="3" spans="1:15" x14ac:dyDescent="0.2">
      <c r="A3" s="20" t="s">
        <v>8</v>
      </c>
      <c r="B3" s="8">
        <v>290955</v>
      </c>
      <c r="C3" s="8">
        <v>301738</v>
      </c>
      <c r="D3" s="8">
        <v>332421</v>
      </c>
      <c r="E3" s="8">
        <v>386336</v>
      </c>
      <c r="F3" s="8">
        <v>412651</v>
      </c>
      <c r="G3" s="8">
        <v>406758</v>
      </c>
      <c r="H3" s="8">
        <v>378043</v>
      </c>
      <c r="I3" s="8">
        <v>382676</v>
      </c>
      <c r="J3" s="8">
        <v>376877</v>
      </c>
      <c r="K3" s="8">
        <v>331301</v>
      </c>
      <c r="L3" s="8">
        <v>302040</v>
      </c>
      <c r="M3" s="8">
        <v>316911</v>
      </c>
      <c r="N3" s="21">
        <f t="shared" ref="N3:N9" si="0">SUM(B3:M3)</f>
        <v>4218707</v>
      </c>
      <c r="O3" s="8">
        <f t="shared" ref="O3:O9" si="1">N3/12</f>
        <v>351558.91666666669</v>
      </c>
    </row>
    <row r="4" spans="1:15" x14ac:dyDescent="0.2">
      <c r="A4" s="22" t="s">
        <v>11</v>
      </c>
      <c r="B4" s="13">
        <v>170492</v>
      </c>
      <c r="C4" s="13">
        <v>180682</v>
      </c>
      <c r="D4" s="13">
        <v>195392</v>
      </c>
      <c r="E4" s="13">
        <v>225960</v>
      </c>
      <c r="F4" s="13">
        <v>237641</v>
      </c>
      <c r="G4" s="13">
        <v>237666</v>
      </c>
      <c r="H4" s="13">
        <v>228134</v>
      </c>
      <c r="I4" s="13">
        <v>221992</v>
      </c>
      <c r="J4" s="13">
        <v>217763</v>
      </c>
      <c r="K4" s="13">
        <v>198671</v>
      </c>
      <c r="L4" s="13">
        <v>176812</v>
      </c>
      <c r="M4" s="13">
        <v>180156</v>
      </c>
      <c r="N4" s="21">
        <f t="shared" si="0"/>
        <v>2471361</v>
      </c>
      <c r="O4" s="13">
        <f t="shared" si="1"/>
        <v>205946.75</v>
      </c>
    </row>
    <row r="5" spans="1:15" x14ac:dyDescent="0.2">
      <c r="A5" s="20" t="s">
        <v>13</v>
      </c>
      <c r="B5" s="8">
        <v>110311</v>
      </c>
      <c r="C5" s="8">
        <v>116509</v>
      </c>
      <c r="D5" s="8">
        <v>119623</v>
      </c>
      <c r="E5" s="8">
        <v>141224</v>
      </c>
      <c r="F5" s="8">
        <v>157532</v>
      </c>
      <c r="G5" s="8">
        <v>148419</v>
      </c>
      <c r="H5" s="8">
        <v>146476</v>
      </c>
      <c r="I5" s="8">
        <v>147807</v>
      </c>
      <c r="J5" s="8">
        <v>135723</v>
      </c>
      <c r="K5" s="8">
        <v>127302</v>
      </c>
      <c r="L5" s="8">
        <v>116128</v>
      </c>
      <c r="M5" s="8">
        <v>114736</v>
      </c>
      <c r="N5" s="21">
        <f t="shared" si="0"/>
        <v>1581790</v>
      </c>
      <c r="O5" s="8">
        <f t="shared" si="1"/>
        <v>131815.83333333334</v>
      </c>
    </row>
    <row r="6" spans="1:15" x14ac:dyDescent="0.2">
      <c r="A6" s="22" t="s">
        <v>16</v>
      </c>
      <c r="B6" s="13">
        <v>72263</v>
      </c>
      <c r="C6" s="13">
        <v>74232</v>
      </c>
      <c r="D6" s="13">
        <v>77721</v>
      </c>
      <c r="E6" s="13">
        <v>90459</v>
      </c>
      <c r="F6" s="13">
        <v>97819</v>
      </c>
      <c r="G6" s="13">
        <v>95757</v>
      </c>
      <c r="H6" s="13">
        <v>88127</v>
      </c>
      <c r="I6" s="13">
        <v>93786</v>
      </c>
      <c r="J6" s="13">
        <v>87707</v>
      </c>
      <c r="K6" s="13">
        <v>77111</v>
      </c>
      <c r="L6" s="13">
        <v>71899</v>
      </c>
      <c r="M6" s="13">
        <v>75267</v>
      </c>
      <c r="N6" s="21">
        <f t="shared" si="0"/>
        <v>1002148</v>
      </c>
      <c r="O6" s="13">
        <f t="shared" si="1"/>
        <v>83512.333333333328</v>
      </c>
    </row>
    <row r="7" spans="1:15" x14ac:dyDescent="0.2">
      <c r="A7" s="20" t="s">
        <v>18</v>
      </c>
      <c r="B7" s="8">
        <v>39597</v>
      </c>
      <c r="C7" s="8">
        <v>41186</v>
      </c>
      <c r="D7" s="8">
        <v>42228</v>
      </c>
      <c r="E7" s="8">
        <v>50238</v>
      </c>
      <c r="F7" s="8">
        <v>54447</v>
      </c>
      <c r="G7" s="8">
        <v>55418</v>
      </c>
      <c r="H7" s="8">
        <v>51051</v>
      </c>
      <c r="I7" s="8">
        <v>51673</v>
      </c>
      <c r="J7" s="8">
        <v>48062</v>
      </c>
      <c r="K7" s="8">
        <v>44944</v>
      </c>
      <c r="L7" s="8">
        <v>40590</v>
      </c>
      <c r="M7" s="8">
        <v>42375</v>
      </c>
      <c r="N7" s="21">
        <f t="shared" si="0"/>
        <v>561809</v>
      </c>
      <c r="O7" s="8">
        <f t="shared" si="1"/>
        <v>46817.416666666664</v>
      </c>
    </row>
    <row r="8" spans="1:15" x14ac:dyDescent="0.2">
      <c r="A8" s="22" t="s">
        <v>21</v>
      </c>
      <c r="B8" s="13">
        <v>55107</v>
      </c>
      <c r="C8" s="13">
        <v>56905</v>
      </c>
      <c r="D8" s="13">
        <v>59824</v>
      </c>
      <c r="E8" s="13">
        <v>72792</v>
      </c>
      <c r="F8" s="13">
        <v>78143</v>
      </c>
      <c r="G8" s="13">
        <v>76541</v>
      </c>
      <c r="H8" s="13">
        <v>69903</v>
      </c>
      <c r="I8" s="13">
        <v>71752</v>
      </c>
      <c r="J8" s="13">
        <v>69378</v>
      </c>
      <c r="K8" s="13">
        <v>61668</v>
      </c>
      <c r="L8" s="13">
        <v>55423</v>
      </c>
      <c r="M8" s="13">
        <v>59572</v>
      </c>
      <c r="N8" s="21">
        <f t="shared" si="0"/>
        <v>787008</v>
      </c>
      <c r="O8" s="13">
        <f t="shared" si="1"/>
        <v>65584</v>
      </c>
    </row>
    <row r="9" spans="1:15" x14ac:dyDescent="0.2">
      <c r="A9" s="20" t="s">
        <v>24</v>
      </c>
      <c r="B9" s="8">
        <v>39003</v>
      </c>
      <c r="C9" s="8">
        <v>40805</v>
      </c>
      <c r="D9" s="8">
        <v>43196</v>
      </c>
      <c r="E9" s="8">
        <v>51399</v>
      </c>
      <c r="F9" s="8">
        <v>55074</v>
      </c>
      <c r="G9" s="8">
        <v>54419</v>
      </c>
      <c r="H9" s="8">
        <v>49277</v>
      </c>
      <c r="I9" s="8">
        <v>50551</v>
      </c>
      <c r="J9" s="8">
        <v>50181</v>
      </c>
      <c r="K9" s="8">
        <v>42084</v>
      </c>
      <c r="L9" s="8">
        <v>41098</v>
      </c>
      <c r="M9" s="8">
        <v>43391</v>
      </c>
      <c r="N9" s="21">
        <f t="shared" si="0"/>
        <v>560478</v>
      </c>
      <c r="O9" s="8">
        <f t="shared" si="1"/>
        <v>46706.5</v>
      </c>
    </row>
    <row r="10" spans="1:15" ht="24" customHeight="1" x14ac:dyDescent="0.2">
      <c r="A10" s="23" t="s">
        <v>26</v>
      </c>
      <c r="B10" s="16">
        <f t="shared" ref="B10:O10" si="2">SUM(B3:B9)</f>
        <v>777728</v>
      </c>
      <c r="C10" s="16">
        <f t="shared" si="2"/>
        <v>812057</v>
      </c>
      <c r="D10" s="16">
        <f t="shared" si="2"/>
        <v>870405</v>
      </c>
      <c r="E10" s="16">
        <f t="shared" si="2"/>
        <v>1018408</v>
      </c>
      <c r="F10" s="16">
        <f t="shared" si="2"/>
        <v>1093307</v>
      </c>
      <c r="G10" s="16">
        <f t="shared" si="2"/>
        <v>1074978</v>
      </c>
      <c r="H10" s="16">
        <f t="shared" si="2"/>
        <v>1011011</v>
      </c>
      <c r="I10" s="16">
        <f t="shared" si="2"/>
        <v>1020237</v>
      </c>
      <c r="J10" s="16">
        <f t="shared" si="2"/>
        <v>985691</v>
      </c>
      <c r="K10" s="16">
        <f t="shared" si="2"/>
        <v>883081</v>
      </c>
      <c r="L10" s="16">
        <f t="shared" si="2"/>
        <v>803990</v>
      </c>
      <c r="M10" s="16">
        <f t="shared" si="2"/>
        <v>832408</v>
      </c>
      <c r="N10" s="16">
        <f t="shared" si="2"/>
        <v>11183301</v>
      </c>
      <c r="O10" s="16">
        <f t="shared" si="2"/>
        <v>931941.75000000012</v>
      </c>
    </row>
  </sheetData>
  <mergeCells count="1">
    <mergeCell ref="A1:O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SKU Master</vt:lpstr>
      <vt:lpstr>Customer Master</vt:lpstr>
      <vt:lpstr>Annual Plan</vt:lpstr>
      <vt:lpstr>Monthly Demand</vt:lpstr>
      <vt:lpstr>Customer Summary</vt:lpstr>
      <vt:lpstr>SKU Monthly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Souvik Roy</cp:lastModifiedBy>
  <cp:revision>0</cp:revision>
  <dcterms:created xsi:type="dcterms:W3CDTF">2026-04-11T18:38:04Z</dcterms:created>
  <dcterms:modified xsi:type="dcterms:W3CDTF">2026-04-11T18:51:58Z</dcterms:modified>
  <dc:language>en-US</dc:language>
</cp:coreProperties>
</file>